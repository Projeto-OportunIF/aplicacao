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agiariogrc1\Downloads\"/>
    </mc:Choice>
  </mc:AlternateContent>
  <bookViews>
    <workbookView xWindow="0" yWindow="0" windowWidth="28800" windowHeight="13620"/>
  </bookViews>
  <sheets>
    <sheet name="Base SLA" sheetId="1" r:id="rId1"/>
    <sheet name="Gráficos SLA" sheetId="2" r:id="rId2"/>
  </sheets>
  <calcPr calcId="162913"/>
</workbook>
</file>

<file path=xl/calcChain.xml><?xml version="1.0" encoding="utf-8"?>
<calcChain xmlns="http://schemas.openxmlformats.org/spreadsheetml/2006/main">
  <c r="X28" i="1" l="1"/>
  <c r="X25" i="1"/>
  <c r="V28" i="1"/>
  <c r="V25" i="1"/>
  <c r="Z25" i="1"/>
  <c r="AF52" i="1"/>
  <c r="AF49" i="1"/>
  <c r="AF46" i="1"/>
  <c r="AF43" i="1"/>
  <c r="AN40" i="1"/>
  <c r="AF40" i="1"/>
  <c r="AN37" i="1"/>
  <c r="AF37" i="1"/>
  <c r="AP34" i="1"/>
  <c r="AN34" i="1"/>
  <c r="AF34" i="1"/>
  <c r="AP31" i="1"/>
  <c r="AN31" i="1"/>
  <c r="AL31" i="1"/>
  <c r="AF31" i="1"/>
  <c r="AP28" i="1"/>
  <c r="AN28" i="1"/>
  <c r="AL28" i="1"/>
  <c r="AJ28" i="1"/>
  <c r="AF28" i="1"/>
  <c r="AD28" i="1"/>
  <c r="AB28" i="1"/>
  <c r="AP25" i="1"/>
  <c r="AN25" i="1"/>
  <c r="AL25" i="1"/>
  <c r="AJ25" i="1"/>
  <c r="AH25" i="1"/>
  <c r="AF25" i="1"/>
  <c r="AD25" i="1"/>
  <c r="AB25" i="1"/>
  <c r="T31" i="1"/>
  <c r="T28" i="1"/>
  <c r="T25" i="1"/>
  <c r="R25" i="1"/>
  <c r="P37" i="1"/>
  <c r="P34" i="1"/>
  <c r="P31" i="1"/>
  <c r="P28" i="1"/>
  <c r="P25" i="1"/>
  <c r="N31" i="1"/>
  <c r="N28" i="1"/>
  <c r="N25" i="1"/>
  <c r="L34" i="1" l="1"/>
  <c r="L31" i="1"/>
  <c r="L28" i="1"/>
  <c r="L25" i="1"/>
  <c r="J25" i="1"/>
  <c r="H28" i="1"/>
  <c r="H25" i="1"/>
  <c r="F46" i="1"/>
  <c r="F43" i="1"/>
  <c r="F40" i="1"/>
  <c r="F37" i="1"/>
  <c r="F34" i="1"/>
  <c r="F31" i="1"/>
  <c r="F28" i="1"/>
  <c r="C34" i="1"/>
  <c r="C31" i="1"/>
  <c r="C25" i="1"/>
  <c r="C28" i="1"/>
</calcChain>
</file>

<file path=xl/sharedStrings.xml><?xml version="1.0" encoding="utf-8"?>
<sst xmlns="http://schemas.openxmlformats.org/spreadsheetml/2006/main" count="253" uniqueCount="103">
  <si>
    <t>Tipo</t>
  </si>
  <si>
    <t>Chave</t>
  </si>
  <si>
    <t>Resumo</t>
  </si>
  <si>
    <t>Criado</t>
  </si>
  <si>
    <t>Solicitante</t>
  </si>
  <si>
    <t>Status Chamado</t>
  </si>
  <si>
    <t>Tipo de Chamado</t>
  </si>
  <si>
    <t>Gravidade</t>
  </si>
  <si>
    <t>Prazo</t>
  </si>
  <si>
    <t>Produto Sinqia</t>
  </si>
  <si>
    <t>Módulos</t>
  </si>
  <si>
    <t>Atendimento</t>
  </si>
  <si>
    <t>SD-242185</t>
  </si>
  <si>
    <t xml:space="preserve">Informações Legais/eFinanceira/Módulo Financeiro - Erro XML </t>
  </si>
  <si>
    <t>26/08/2025 15:40</t>
  </si>
  <si>
    <t>mbritto@fundacaoitaipu.com.br</t>
  </si>
  <si>
    <t>8. Fechado</t>
  </si>
  <si>
    <t>Suporte</t>
  </si>
  <si>
    <t>3. Alta</t>
  </si>
  <si>
    <t>SD-242023</t>
  </si>
  <si>
    <t>PFS - Exportação Fatos Financeiros</t>
  </si>
  <si>
    <t>25/08/2025 12:20</t>
  </si>
  <si>
    <t>vinicius@fundacaoitaipu.com.br</t>
  </si>
  <si>
    <t>2. Media</t>
  </si>
  <si>
    <t>SD-241962</t>
  </si>
  <si>
    <t>Informações Legais/eFinanceira/Módulo Financeiro</t>
  </si>
  <si>
    <t>22/08/2025 17:32</t>
  </si>
  <si>
    <t>SD-241902</t>
  </si>
  <si>
    <t xml:space="preserve">PFS - Baixa de Contribuição Incorreta - Estorno de Contribuição </t>
  </si>
  <si>
    <t>22/08/2025 11:00</t>
  </si>
  <si>
    <t>thassiana@fundacaoitaipu.com.br</t>
  </si>
  <si>
    <t>SD-241814</t>
  </si>
  <si>
    <t>CD e PFS - Institutos/Autopatrocínio</t>
  </si>
  <si>
    <t>21/08/2025 16:28</t>
  </si>
  <si>
    <t>1. Baixa</t>
  </si>
  <si>
    <t>SD-241801</t>
  </si>
  <si>
    <t>PFS - Reativação após Suspensão de Contribuição - Histórico</t>
  </si>
  <si>
    <t>21/08/2025 15:49</t>
  </si>
  <si>
    <t>3. Aguardando Cliente</t>
  </si>
  <si>
    <t>SD-241729</t>
  </si>
  <si>
    <t>PCD - EXPORTAÇÃO FATOS FINANCEIROS</t>
  </si>
  <si>
    <t>21/08/2025 09:05</t>
  </si>
  <si>
    <t>Bug</t>
  </si>
  <si>
    <t>SD-241373</t>
  </si>
  <si>
    <t>Consolidação de IR - PBD e PCD</t>
  </si>
  <si>
    <t>18/08/2025 15:01</t>
  </si>
  <si>
    <t>SD-241314</t>
  </si>
  <si>
    <t>BD - Benefício - Encerramento - Script Alteração Situação</t>
  </si>
  <si>
    <t>18/08/2025 10:47</t>
  </si>
  <si>
    <t>vanessa@fundacaoitaipu.com.br</t>
  </si>
  <si>
    <t>SD-241169</t>
  </si>
  <si>
    <t>BD - Encerramento de BETM - Script para Alteração da Data Fim</t>
  </si>
  <si>
    <t>15/08/2025 10:01</t>
  </si>
  <si>
    <t>SD-241165</t>
  </si>
  <si>
    <t>PFS - Saque a vista Concessao PFS</t>
  </si>
  <si>
    <t>15/08/2025 09:33</t>
  </si>
  <si>
    <t>Roberto@fundacaoitaipu.com.br</t>
  </si>
  <si>
    <t>SD-240822</t>
  </si>
  <si>
    <t>PFS - Transferencia de Saldo - Resgate Parcial</t>
  </si>
  <si>
    <t>12/08/2025 15:50</t>
  </si>
  <si>
    <t>SD-240586</t>
  </si>
  <si>
    <t xml:space="preserve">CNPC 50 - Portabilidade de Entrada - Importação Históricos </t>
  </si>
  <si>
    <t>11/08/2025 09:08</t>
  </si>
  <si>
    <t>Projeto</t>
  </si>
  <si>
    <t>SD-240339</t>
  </si>
  <si>
    <t>PBD - Calendário de Pagamentos</t>
  </si>
  <si>
    <t>07/08/2025 10:24</t>
  </si>
  <si>
    <t>SD-240317</t>
  </si>
  <si>
    <t>PFS - Fechamento Reserva</t>
  </si>
  <si>
    <t>07/08/2025 09:10</t>
  </si>
  <si>
    <t>SD-240296</t>
  </si>
  <si>
    <t>PBD - Suspensão de Benefício - Calendário</t>
  </si>
  <si>
    <t>06/08/2025 17:41</t>
  </si>
  <si>
    <t>SD-240280</t>
  </si>
  <si>
    <t>PBD e PCD - Importação Arquivo Dependentes - Parametrizar idade até 21 anos</t>
  </si>
  <si>
    <t>06/08/2025 16:11</t>
  </si>
  <si>
    <t>SD-240014</t>
  </si>
  <si>
    <t>BD - Cadastro - Participante - Tempo de Serviço Anterior</t>
  </si>
  <si>
    <t>05/08/2025 10:04</t>
  </si>
  <si>
    <t>DENTRO SLA</t>
  </si>
  <si>
    <t>PrevNet.Benefício</t>
  </si>
  <si>
    <t>SD-237665</t>
  </si>
  <si>
    <t>BD - ROTINA RESGATE DESIGNADO - DESCONTO SIMPLIFICADO</t>
  </si>
  <si>
    <t>09/07/2025 08:48</t>
  </si>
  <si>
    <t>2. Em Andamento</t>
  </si>
  <si>
    <t>SD-239278</t>
  </si>
  <si>
    <t>PFS - Desaprovação Desconto em Folha  – continuação do chamado SD-86861</t>
  </si>
  <si>
    <t>28/07/2025 14:03</t>
  </si>
  <si>
    <t>SD-238640</t>
  </si>
  <si>
    <t>CD - Institutos/Autopatrocínio - Media SRC x Salário de Participação</t>
  </si>
  <si>
    <t>21/07/2025 11:13</t>
  </si>
  <si>
    <t>Retorno do Cliente</t>
  </si>
  <si>
    <t>FORA SLA</t>
  </si>
  <si>
    <t>Beneficio</t>
  </si>
  <si>
    <t xml:space="preserve">%  DE EFICÁCIA MINIMO </t>
  </si>
  <si>
    <t>%  DE EFICÁCIA REALIZADO</t>
  </si>
  <si>
    <t>Qtde de Chamados</t>
  </si>
  <si>
    <t>Fora do SLA</t>
  </si>
  <si>
    <t>Dentro do SLA</t>
  </si>
  <si>
    <t>% DENTRO</t>
  </si>
  <si>
    <t>Prevnet.Contábil</t>
  </si>
  <si>
    <t>Prevnet.Empréstimo/Financeiro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</si>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</sst>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</font>
    <font>
      <sz val="11"/>
      <name val="Calibri"/>
    </font>
    <font>
      <b/>
      <sz val="11"/>
      <color rgb="FF42526E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3" fillId="0" borderId="1"/>
  </cellStyleXfs>
  <cellXfs count="32">
    <xf numFmtId="0" fontId="0" fillId="0" borderId="0" xfId="0"/>
    <xf numFmtId="0" fontId="0" fillId="0" borderId="0" xfId="0"/>
    <xf numFmtId="0" fontId="2" fillId="0" borderId="0" xfId="0" applyFont="1"/>
    <xf numFmtId="0" fontId="1" fillId="0" borderId="1" xfId="1"/>
    <xf numFmtId="0" fontId="1" fillId="0" borderId="1" xfId="1" applyBorder="1"/>
    <xf numFmtId="46" fontId="1" fillId="0" borderId="1" xfId="1" applyNumberFormat="1"/>
    <xf numFmtId="0" fontId="1" fillId="0" borderId="1" xfId="2"/>
    <xf numFmtId="0" fontId="1" fillId="0" borderId="1" xfId="2" applyBorder="1"/>
    <xf numFmtId="46" fontId="1" fillId="0" borderId="1" xfId="2" applyNumberFormat="1"/>
    <xf numFmtId="0" fontId="1" fillId="0" borderId="1" xfId="3"/>
    <xf numFmtId="0" fontId="1" fillId="0" borderId="1" xfId="3" applyBorder="1"/>
    <xf numFmtId="46" fontId="1" fillId="0" borderId="1" xfId="3" applyNumberFormat="1"/>
    <xf numFmtId="0" fontId="1" fillId="0" borderId="1" xfId="4"/>
    <xf numFmtId="21" fontId="1" fillId="0" borderId="1" xfId="4" applyNumberFormat="1"/>
    <xf numFmtId="21" fontId="0" fillId="0" borderId="0" xfId="0" applyNumberFormat="1"/>
    <xf numFmtId="0" fontId="0" fillId="0" borderId="1" xfId="1" applyFont="1"/>
    <xf numFmtId="46" fontId="4" fillId="0" borderId="1" xfId="1" applyNumberFormat="1" applyFont="1"/>
    <xf numFmtId="0" fontId="3" fillId="0" borderId="1" xfId="5"/>
    <xf numFmtId="46" fontId="3" fillId="0" borderId="1" xfId="5" applyNumberFormat="1"/>
    <xf numFmtId="21" fontId="3" fillId="0" borderId="1" xfId="5" applyNumberFormat="1"/>
    <xf numFmtId="46" fontId="4" fillId="0" borderId="1" xfId="2" applyNumberFormat="1" applyFont="1"/>
    <xf numFmtId="20" fontId="0" fillId="0" borderId="0" xfId="0" applyNumberFormat="1"/>
    <xf numFmtId="0" fontId="3" fillId="0" borderId="1" xfId="5"/>
    <xf numFmtId="21" fontId="3" fillId="0" borderId="1" xfId="5" applyNumberFormat="1"/>
    <xf numFmtId="0" fontId="3" fillId="0" borderId="1" xfId="5" applyFont="1"/>
    <xf numFmtId="46" fontId="0" fillId="0" borderId="0" xfId="0" applyNumberFormat="1"/>
    <xf numFmtId="46" fontId="4" fillId="0" borderId="1" xfId="3" applyNumberFormat="1" applyFont="1"/>
    <xf numFmtId="0" fontId="3" fillId="0" borderId="0" xfId="0" applyFont="1"/>
    <xf numFmtId="21" fontId="3" fillId="0" borderId="0" xfId="0" applyNumberFormat="1" applyFont="1"/>
    <xf numFmtId="46" fontId="4" fillId="0" borderId="0" xfId="0" applyNumberFormat="1" applyFont="1"/>
    <xf numFmtId="9" fontId="0" fillId="0" borderId="0" xfId="0" applyNumberFormat="1"/>
    <xf numFmtId="0" fontId="5" fillId="0" borderId="0" xfId="0" applyFont="1"/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Quantidade</a:t>
            </a:r>
            <a:r>
              <a:rPr lang="pt-BR" baseline="0">
                <a:solidFill>
                  <a:sysClr val="windowText" lastClr="000000"/>
                </a:solidFill>
              </a:rPr>
              <a:t> de chamados Agosto</a:t>
            </a:r>
          </a:p>
        </c:rich>
      </c:tx>
      <c:layout>
        <c:manualLayout>
          <c:xMode val="edge"/>
          <c:yMode val="edge"/>
          <c:x val="0.26132494867387485"/>
          <c:y val="1.22879640843128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'Base SLA'!$P$4</c:f>
              <c:strCache>
                <c:ptCount val="1"/>
                <c:pt idx="0">
                  <c:v>Dentro do SLA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SLA'!$M$5</c:f>
              <c:strCache>
                <c:ptCount val="1"/>
                <c:pt idx="0">
                  <c:v>PrevNet.Benefício</c:v>
                </c:pt>
              </c:strCache>
            </c:strRef>
          </c:cat>
          <c:val>
            <c:numRef>
              <c:f>'Base SLA'!$P$5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B-42F7-9541-2C0AE36B380F}"/>
            </c:ext>
          </c:extLst>
        </c:ser>
        <c:ser>
          <c:idx val="1"/>
          <c:order val="1"/>
          <c:tx>
            <c:strRef>
              <c:f>'Base SLA'!$O$4</c:f>
              <c:strCache>
                <c:ptCount val="1"/>
                <c:pt idx="0">
                  <c:v>Fora do SLA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SLA'!$M$5</c:f>
              <c:strCache>
                <c:ptCount val="1"/>
                <c:pt idx="0">
                  <c:v>PrevNet.Benefício</c:v>
                </c:pt>
              </c:strCache>
            </c:strRef>
          </c:cat>
          <c:val>
            <c:numRef>
              <c:f>'Base SLA'!$O$5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B-42F7-9541-2C0AE36B38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5186016"/>
        <c:axId val="606923728"/>
      </c:barChart>
      <c:scatterChart>
        <c:scatterStyle val="lineMarker"/>
        <c:varyColors val="0"/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noFill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'Base SLA'!$N$5</c:f>
              <c:numCache>
                <c:formatCode>General</c:formatCode>
                <c:ptCount val="1"/>
                <c:pt idx="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2B-42F7-9541-2C0AE36B38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85186016"/>
        <c:axId val="606923728"/>
      </c:scatterChart>
      <c:catAx>
        <c:axId val="4851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6923728"/>
        <c:crosses val="autoZero"/>
        <c:auto val="1"/>
        <c:lblAlgn val="ctr"/>
        <c:lblOffset val="100"/>
        <c:noMultiLvlLbl val="0"/>
      </c:catAx>
      <c:valAx>
        <c:axId val="6069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18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Prevnet.Beneficio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SLA'!$S$2</c:f>
              <c:strCache>
                <c:ptCount val="1"/>
                <c:pt idx="0">
                  <c:v>%  DE EFICÁCIA MINIMO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SLA'!$R$3</c:f>
              <c:strCache>
                <c:ptCount val="1"/>
                <c:pt idx="0">
                  <c:v>Agosto</c:v>
                </c:pt>
              </c:strCache>
            </c:strRef>
          </c:cat>
          <c:val>
            <c:numRef>
              <c:f>'Base SLA'!$S$3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0-4AB2-9F72-F474E4E4BA57}"/>
            </c:ext>
          </c:extLst>
        </c:ser>
        <c:ser>
          <c:idx val="1"/>
          <c:order val="1"/>
          <c:tx>
            <c:strRef>
              <c:f>'Base SLA'!$T$2</c:f>
              <c:strCache>
                <c:ptCount val="1"/>
                <c:pt idx="0">
                  <c:v>%  DE EFICÁCIA REALIZADO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SLA'!$R$3</c:f>
              <c:strCache>
                <c:ptCount val="1"/>
                <c:pt idx="0">
                  <c:v>Agosto</c:v>
                </c:pt>
              </c:strCache>
            </c:strRef>
          </c:cat>
          <c:val>
            <c:numRef>
              <c:f>'Base SLA'!$T$3</c:f>
              <c:numCache>
                <c:formatCode>0%</c:formatCode>
                <c:ptCount val="1"/>
                <c:pt idx="0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0-4AB2-9F72-F474E4E4BA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1011408"/>
        <c:axId val="1740244048"/>
      </c:lineChart>
      <c:catAx>
        <c:axId val="180101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0244048"/>
        <c:crosses val="autoZero"/>
        <c:auto val="1"/>
        <c:lblAlgn val="ctr"/>
        <c:lblOffset val="100"/>
        <c:noMultiLvlLbl val="0"/>
      </c:catAx>
      <c:valAx>
        <c:axId val="17402440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01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11</xdr:col>
      <xdr:colOff>319123</xdr:colOff>
      <xdr:row>19</xdr:row>
      <xdr:rowOff>52595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53FB80-9E0C-44BF-9F24-C8664828D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22</xdr:row>
      <xdr:rowOff>0</xdr:rowOff>
    </xdr:from>
    <xdr:to>
      <xdr:col>7</xdr:col>
      <xdr:colOff>559174</xdr:colOff>
      <xdr:row>34</xdr:row>
      <xdr:rowOff>89126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D2AB422-3D39-40AB-B47D-39D51281C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83"/>
  <sheetViews>
    <sheetView tabSelected="1" workbookViewId="0">
      <selection activeCell="C57" sqref="C57"/>
    </sheetView>
  </sheetViews>
  <sheetFormatPr defaultRowHeight="15"/>
  <cols>
    <col min="1" max="1" width="12.85546875" bestFit="1" customWidth="1"/>
    <col min="2" max="2" width="10" bestFit="1" customWidth="1"/>
    <col min="3" max="3" width="72.28515625" bestFit="1" customWidth="1"/>
    <col min="4" max="4" width="15.85546875" bestFit="1" customWidth="1"/>
    <col min="5" max="5" width="31.85546875" bestFit="1" customWidth="1"/>
    <col min="6" max="7" width="20.85546875" bestFit="1" customWidth="1"/>
    <col min="8" max="8" width="16.42578125" bestFit="1" customWidth="1"/>
    <col min="9" max="9" width="10.140625" bestFit="1" customWidth="1"/>
    <col min="10" max="10" width="15.85546875" bestFit="1" customWidth="1"/>
    <col min="11" max="11" width="23.42578125" bestFit="1" customWidth="1"/>
    <col min="12" max="12" width="17.42578125" bestFit="1" customWidth="1"/>
    <col min="13" max="13" width="30.140625" bestFit="1" customWidth="1"/>
    <col min="14" max="14" width="18" bestFit="1" customWidth="1"/>
    <col min="15" max="15" width="11.140625" bestFit="1" customWidth="1"/>
    <col min="16" max="16" width="13.5703125" bestFit="1" customWidth="1"/>
    <col min="17" max="17" width="10" bestFit="1" customWidth="1"/>
    <col min="18" max="18" width="16.5703125" customWidth="1"/>
    <col min="19" max="19" width="22.85546875" bestFit="1" customWidth="1"/>
    <col min="20" max="20" width="24.85546875" bestFit="1" customWidth="1"/>
    <col min="21" max="21" width="10" bestFit="1" customWidth="1"/>
    <col min="22" max="22" width="13.140625" customWidth="1"/>
    <col min="23" max="23" width="12.140625" customWidth="1"/>
    <col min="24" max="24" width="17" customWidth="1"/>
    <col min="25" max="25" width="10" bestFit="1" customWidth="1"/>
    <col min="26" max="26" width="13.140625" customWidth="1"/>
    <col min="27" max="27" width="10" bestFit="1" customWidth="1"/>
    <col min="28" max="28" width="16.140625" customWidth="1"/>
    <col min="29" max="29" width="10" bestFit="1" customWidth="1"/>
    <col min="30" max="30" width="21.140625" customWidth="1"/>
    <col min="31" max="31" width="10" bestFit="1" customWidth="1"/>
    <col min="32" max="32" width="21.5703125" customWidth="1"/>
    <col min="33" max="33" width="10" bestFit="1" customWidth="1"/>
    <col min="34" max="34" width="16.85546875" customWidth="1"/>
    <col min="35" max="35" width="10" bestFit="1" customWidth="1"/>
    <col min="36" max="36" width="22.140625" customWidth="1"/>
    <col min="37" max="37" width="10" bestFit="1" customWidth="1"/>
    <col min="38" max="38" width="21.5703125" customWidth="1"/>
    <col min="39" max="39" width="10" bestFit="1" customWidth="1"/>
    <col min="40" max="40" width="21.42578125" customWidth="1"/>
    <col min="41" max="41" width="10" bestFit="1" customWidth="1"/>
    <col min="42" max="42" width="18.28515625" customWidth="1"/>
    <col min="43" max="43" width="10" bestFit="1" customWidth="1"/>
    <col min="44" max="45" width="12.42578125" customWidth="1"/>
    <col min="46" max="46" width="12" customWidth="1"/>
    <col min="47" max="47" width="11.85546875" customWidth="1"/>
    <col min="48" max="48" width="12.85546875" customWidth="1"/>
    <col min="49" max="49" width="10" bestFit="1" customWidth="1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AQ1" s="31"/>
    </row>
    <row r="2" spans="1:43">
      <c r="A2" s="3" t="s">
        <v>11</v>
      </c>
      <c r="B2" s="3" t="s">
        <v>81</v>
      </c>
      <c r="C2" s="3" t="s">
        <v>82</v>
      </c>
      <c r="D2" s="3" t="s">
        <v>83</v>
      </c>
      <c r="E2" s="3" t="s">
        <v>22</v>
      </c>
      <c r="F2" s="3" t="s">
        <v>84</v>
      </c>
      <c r="G2" s="3" t="s">
        <v>63</v>
      </c>
      <c r="H2" s="3" t="s">
        <v>34</v>
      </c>
      <c r="I2" s="5">
        <v>4</v>
      </c>
      <c r="J2" s="16">
        <v>14</v>
      </c>
      <c r="K2" s="15" t="s">
        <v>92</v>
      </c>
      <c r="L2" s="4" t="s">
        <v>80</v>
      </c>
      <c r="R2" t="s">
        <v>93</v>
      </c>
      <c r="S2" t="s">
        <v>94</v>
      </c>
      <c r="T2" t="s">
        <v>95</v>
      </c>
    </row>
    <row r="3" spans="1:43">
      <c r="A3" s="6" t="s">
        <v>11</v>
      </c>
      <c r="B3" s="6" t="s">
        <v>85</v>
      </c>
      <c r="C3" s="6" t="s">
        <v>86</v>
      </c>
      <c r="D3" s="6" t="s">
        <v>87</v>
      </c>
      <c r="E3" s="6" t="s">
        <v>30</v>
      </c>
      <c r="F3" s="6" t="s">
        <v>84</v>
      </c>
      <c r="G3" s="6" t="s">
        <v>42</v>
      </c>
      <c r="H3" s="6" t="s">
        <v>34</v>
      </c>
      <c r="I3" s="8">
        <v>4</v>
      </c>
      <c r="J3" s="20">
        <v>6.531944444444445</v>
      </c>
      <c r="K3" s="15" t="s">
        <v>92</v>
      </c>
      <c r="L3" s="7" t="s">
        <v>80</v>
      </c>
      <c r="R3" t="s">
        <v>102</v>
      </c>
      <c r="S3" s="30">
        <v>0.8</v>
      </c>
      <c r="T3" s="30">
        <v>0.81</v>
      </c>
      <c r="W3" s="30"/>
      <c r="X3" s="30"/>
    </row>
    <row r="4" spans="1:43">
      <c r="A4" s="9" t="s">
        <v>11</v>
      </c>
      <c r="B4" s="9" t="s">
        <v>88</v>
      </c>
      <c r="C4" s="9" t="s">
        <v>89</v>
      </c>
      <c r="D4" s="9" t="s">
        <v>90</v>
      </c>
      <c r="E4" s="9" t="s">
        <v>15</v>
      </c>
      <c r="F4" s="9" t="s">
        <v>91</v>
      </c>
      <c r="G4" s="9" t="s">
        <v>17</v>
      </c>
      <c r="H4" s="9" t="s">
        <v>23</v>
      </c>
      <c r="I4" s="11">
        <v>2</v>
      </c>
      <c r="J4" s="26">
        <v>6.656944444444445</v>
      </c>
      <c r="K4" s="15" t="s">
        <v>92</v>
      </c>
      <c r="L4" s="10" t="s">
        <v>80</v>
      </c>
      <c r="N4" t="s">
        <v>96</v>
      </c>
      <c r="O4" t="s">
        <v>97</v>
      </c>
      <c r="P4" t="s">
        <v>98</v>
      </c>
      <c r="Q4" t="s">
        <v>99</v>
      </c>
    </row>
    <row r="5" spans="1:43">
      <c r="A5" s="1" t="s">
        <v>11</v>
      </c>
      <c r="B5" s="27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25">
        <v>1</v>
      </c>
      <c r="J5" s="14">
        <v>7.4305555555555555E-2</v>
      </c>
      <c r="K5" s="3" t="s">
        <v>79</v>
      </c>
      <c r="L5" s="7" t="s">
        <v>80</v>
      </c>
      <c r="M5" t="s">
        <v>80</v>
      </c>
      <c r="N5">
        <v>21</v>
      </c>
      <c r="O5">
        <v>4</v>
      </c>
      <c r="P5">
        <v>17</v>
      </c>
      <c r="Q5" s="30">
        <v>0.81</v>
      </c>
    </row>
    <row r="6" spans="1:43">
      <c r="A6" s="1" t="s">
        <v>11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16</v>
      </c>
      <c r="G6" s="1" t="s">
        <v>17</v>
      </c>
      <c r="H6" s="1" t="s">
        <v>23</v>
      </c>
      <c r="I6" s="11">
        <v>2</v>
      </c>
      <c r="J6" s="14">
        <v>0.16319444444444445</v>
      </c>
      <c r="K6" s="3" t="s">
        <v>79</v>
      </c>
      <c r="L6" s="7" t="s">
        <v>80</v>
      </c>
      <c r="M6" t="s">
        <v>100</v>
      </c>
      <c r="N6">
        <v>0</v>
      </c>
      <c r="O6">
        <v>0</v>
      </c>
      <c r="P6" s="1">
        <v>0</v>
      </c>
      <c r="Q6" s="30"/>
      <c r="S6" s="1"/>
      <c r="T6" s="1"/>
      <c r="U6" s="1"/>
      <c r="V6" s="1"/>
    </row>
    <row r="7" spans="1:43">
      <c r="A7" s="1" t="s">
        <v>11</v>
      </c>
      <c r="B7" s="1" t="s">
        <v>24</v>
      </c>
      <c r="C7" s="1" t="s">
        <v>25</v>
      </c>
      <c r="D7" s="1" t="s">
        <v>26</v>
      </c>
      <c r="E7" s="1" t="s">
        <v>15</v>
      </c>
      <c r="F7" s="1" t="s">
        <v>16</v>
      </c>
      <c r="G7" s="1" t="s">
        <v>17</v>
      </c>
      <c r="H7" s="1" t="s">
        <v>18</v>
      </c>
      <c r="I7" s="25">
        <v>1</v>
      </c>
      <c r="J7" s="14">
        <v>0.40069444444444446</v>
      </c>
      <c r="K7" s="3" t="s">
        <v>79</v>
      </c>
      <c r="L7" s="7" t="s">
        <v>80</v>
      </c>
      <c r="M7" t="s">
        <v>101</v>
      </c>
      <c r="N7">
        <v>0</v>
      </c>
      <c r="O7">
        <v>0</v>
      </c>
      <c r="P7" s="1">
        <v>0</v>
      </c>
      <c r="Q7" s="1"/>
      <c r="S7" s="1"/>
      <c r="T7" s="1"/>
      <c r="U7" s="1"/>
      <c r="V7" s="1"/>
    </row>
    <row r="8" spans="1:43">
      <c r="A8" s="1" t="s">
        <v>11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16</v>
      </c>
      <c r="G8" s="1" t="s">
        <v>17</v>
      </c>
      <c r="H8" s="1" t="s">
        <v>18</v>
      </c>
      <c r="I8" s="25">
        <v>1</v>
      </c>
      <c r="J8" s="14">
        <v>0.70416666666666661</v>
      </c>
      <c r="K8" s="3" t="s">
        <v>79</v>
      </c>
      <c r="L8" s="7" t="s">
        <v>80</v>
      </c>
      <c r="P8" s="1"/>
      <c r="Q8" s="1"/>
      <c r="S8" s="1"/>
      <c r="T8" s="1"/>
      <c r="U8" s="1"/>
      <c r="V8" s="1"/>
    </row>
    <row r="9" spans="1:43">
      <c r="A9" s="1" t="s">
        <v>11</v>
      </c>
      <c r="B9" s="1" t="s">
        <v>31</v>
      </c>
      <c r="C9" s="1" t="s">
        <v>32</v>
      </c>
      <c r="D9" s="1" t="s">
        <v>33</v>
      </c>
      <c r="E9" s="1" t="s">
        <v>15</v>
      </c>
      <c r="F9" s="1" t="s">
        <v>16</v>
      </c>
      <c r="G9" s="1" t="s">
        <v>17</v>
      </c>
      <c r="H9" s="1" t="s">
        <v>34</v>
      </c>
      <c r="I9" s="8">
        <v>4</v>
      </c>
      <c r="J9" s="14">
        <v>0.29652777777777778</v>
      </c>
      <c r="K9" s="3" t="s">
        <v>79</v>
      </c>
      <c r="L9" s="7" t="s">
        <v>80</v>
      </c>
      <c r="P9" s="1"/>
      <c r="Q9" s="1"/>
      <c r="S9" s="1"/>
      <c r="T9" s="1"/>
      <c r="U9" s="1"/>
      <c r="V9" s="1"/>
    </row>
    <row r="10" spans="1:43">
      <c r="A10" s="1" t="s">
        <v>11</v>
      </c>
      <c r="B10" s="1" t="s">
        <v>35</v>
      </c>
      <c r="C10" s="1" t="s">
        <v>36</v>
      </c>
      <c r="D10" s="1" t="s">
        <v>37</v>
      </c>
      <c r="E10" s="1" t="s">
        <v>30</v>
      </c>
      <c r="F10" s="1" t="s">
        <v>38</v>
      </c>
      <c r="G10" s="1" t="s">
        <v>17</v>
      </c>
      <c r="H10" s="1" t="s">
        <v>34</v>
      </c>
      <c r="I10" s="8">
        <v>4</v>
      </c>
      <c r="J10" s="14">
        <v>3.0555555555555555E-2</v>
      </c>
      <c r="K10" s="3" t="s">
        <v>79</v>
      </c>
      <c r="L10" s="7" t="s">
        <v>80</v>
      </c>
      <c r="P10" s="1"/>
      <c r="Q10" s="1"/>
      <c r="S10" s="1"/>
      <c r="T10" s="1"/>
      <c r="U10" s="1"/>
      <c r="V10" s="1"/>
    </row>
    <row r="11" spans="1:43">
      <c r="A11" s="1" t="s">
        <v>11</v>
      </c>
      <c r="B11" s="1" t="s">
        <v>39</v>
      </c>
      <c r="C11" s="1" t="s">
        <v>40</v>
      </c>
      <c r="D11" s="1" t="s">
        <v>41</v>
      </c>
      <c r="E11" s="1" t="s">
        <v>22</v>
      </c>
      <c r="F11" s="1" t="s">
        <v>38</v>
      </c>
      <c r="G11" s="1" t="s">
        <v>42</v>
      </c>
      <c r="H11" s="1" t="s">
        <v>34</v>
      </c>
      <c r="I11" s="8">
        <v>4</v>
      </c>
      <c r="J11" s="25">
        <v>2.7520833333333332</v>
      </c>
      <c r="K11" s="3" t="s">
        <v>79</v>
      </c>
      <c r="L11" s="7" t="s">
        <v>80</v>
      </c>
      <c r="S11" s="1"/>
    </row>
    <row r="12" spans="1:43">
      <c r="A12" s="1" t="s">
        <v>11</v>
      </c>
      <c r="B12" s="1" t="s">
        <v>43</v>
      </c>
      <c r="C12" s="1" t="s">
        <v>44</v>
      </c>
      <c r="D12" s="1" t="s">
        <v>45</v>
      </c>
      <c r="E12" s="1" t="s">
        <v>22</v>
      </c>
      <c r="F12" s="1" t="s">
        <v>16</v>
      </c>
      <c r="G12" s="1" t="s">
        <v>42</v>
      </c>
      <c r="H12" s="1" t="s">
        <v>18</v>
      </c>
      <c r="I12" s="25">
        <v>1</v>
      </c>
      <c r="J12" s="14">
        <v>4.6527777777777779E-2</v>
      </c>
      <c r="K12" s="3" t="s">
        <v>79</v>
      </c>
      <c r="L12" s="7" t="s">
        <v>80</v>
      </c>
      <c r="S12" s="1"/>
    </row>
    <row r="13" spans="1:43">
      <c r="A13" s="1" t="s">
        <v>11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16</v>
      </c>
      <c r="G13" s="1" t="s">
        <v>17</v>
      </c>
      <c r="H13" s="1" t="s">
        <v>34</v>
      </c>
      <c r="I13" s="8">
        <v>4</v>
      </c>
      <c r="J13" s="21">
        <v>0.32291666666666669</v>
      </c>
      <c r="K13" s="3" t="s">
        <v>79</v>
      </c>
      <c r="L13" s="7" t="s">
        <v>80</v>
      </c>
      <c r="P13" s="1"/>
      <c r="Q13" s="1"/>
      <c r="S13" s="1"/>
      <c r="T13" s="1"/>
      <c r="U13" s="1"/>
      <c r="V13" s="1"/>
    </row>
    <row r="14" spans="1:43">
      <c r="A14" s="1" t="s">
        <v>11</v>
      </c>
      <c r="B14" s="1" t="s">
        <v>50</v>
      </c>
      <c r="C14" s="1" t="s">
        <v>51</v>
      </c>
      <c r="D14" s="1" t="s">
        <v>52</v>
      </c>
      <c r="E14" s="1" t="s">
        <v>49</v>
      </c>
      <c r="F14" s="1" t="s">
        <v>16</v>
      </c>
      <c r="G14" s="1" t="s">
        <v>17</v>
      </c>
      <c r="H14" s="1" t="s">
        <v>34</v>
      </c>
      <c r="I14" s="8">
        <v>4</v>
      </c>
      <c r="J14" s="14">
        <v>0.48888888888888887</v>
      </c>
      <c r="K14" s="3" t="s">
        <v>79</v>
      </c>
      <c r="L14" s="7" t="s">
        <v>80</v>
      </c>
      <c r="P14" s="1"/>
      <c r="Q14" s="1"/>
      <c r="S14" s="1"/>
      <c r="T14" s="1"/>
      <c r="U14" s="1"/>
      <c r="V14" s="1"/>
    </row>
    <row r="15" spans="1:43">
      <c r="A15" s="1" t="s">
        <v>11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38</v>
      </c>
      <c r="G15" s="1" t="s">
        <v>17</v>
      </c>
      <c r="H15" s="1" t="s">
        <v>34</v>
      </c>
      <c r="I15" s="8">
        <v>4</v>
      </c>
      <c r="J15" s="14">
        <v>0.3611111111111111</v>
      </c>
      <c r="K15" s="3" t="s">
        <v>79</v>
      </c>
      <c r="L15" s="7" t="s">
        <v>80</v>
      </c>
      <c r="P15" s="1"/>
      <c r="Q15" s="1"/>
      <c r="S15" s="1"/>
      <c r="T15" s="1"/>
      <c r="U15" s="1"/>
      <c r="V15" s="1"/>
    </row>
    <row r="16" spans="1:43">
      <c r="A16" s="1" t="s">
        <v>11</v>
      </c>
      <c r="B16" s="1" t="s">
        <v>57</v>
      </c>
      <c r="C16" s="1" t="s">
        <v>58</v>
      </c>
      <c r="D16" s="1" t="s">
        <v>59</v>
      </c>
      <c r="E16" s="1" t="s">
        <v>56</v>
      </c>
      <c r="F16" s="1" t="s">
        <v>16</v>
      </c>
      <c r="G16" s="1" t="s">
        <v>17</v>
      </c>
      <c r="H16" s="1" t="s">
        <v>18</v>
      </c>
      <c r="I16" s="25">
        <v>1</v>
      </c>
      <c r="J16" s="14">
        <v>0.61805555555555558</v>
      </c>
      <c r="K16" s="3" t="s">
        <v>79</v>
      </c>
      <c r="L16" s="7" t="s">
        <v>80</v>
      </c>
      <c r="P16" s="1"/>
      <c r="Q16" s="1"/>
      <c r="S16" s="1"/>
      <c r="T16" s="1"/>
      <c r="U16" s="1"/>
      <c r="V16" s="1"/>
    </row>
    <row r="17" spans="1:76">
      <c r="A17" s="1" t="s">
        <v>11</v>
      </c>
      <c r="B17" s="1" t="s">
        <v>60</v>
      </c>
      <c r="C17" s="1" t="s">
        <v>61</v>
      </c>
      <c r="D17" s="1" t="s">
        <v>62</v>
      </c>
      <c r="E17" s="1" t="s">
        <v>30</v>
      </c>
      <c r="F17" s="1" t="s">
        <v>16</v>
      </c>
      <c r="G17" s="1" t="s">
        <v>63</v>
      </c>
      <c r="H17" s="1" t="s">
        <v>18</v>
      </c>
      <c r="I17" s="25">
        <v>1</v>
      </c>
      <c r="J17" s="29">
        <v>1.7152777777777777</v>
      </c>
      <c r="K17" s="15" t="s">
        <v>92</v>
      </c>
      <c r="L17" s="7" t="s">
        <v>80</v>
      </c>
      <c r="S17" s="1"/>
    </row>
    <row r="18" spans="1:76">
      <c r="A18" s="1" t="s">
        <v>11</v>
      </c>
      <c r="B18" s="1" t="s">
        <v>64</v>
      </c>
      <c r="C18" s="1" t="s">
        <v>65</v>
      </c>
      <c r="D18" s="1" t="s">
        <v>66</v>
      </c>
      <c r="E18" s="1" t="s">
        <v>22</v>
      </c>
      <c r="F18" s="1" t="s">
        <v>16</v>
      </c>
      <c r="G18" s="1" t="s">
        <v>17</v>
      </c>
      <c r="H18" s="1" t="s">
        <v>34</v>
      </c>
      <c r="I18" s="8">
        <v>4</v>
      </c>
      <c r="J18" s="14">
        <v>0.21249999999999999</v>
      </c>
      <c r="K18" s="3" t="s">
        <v>79</v>
      </c>
      <c r="L18" s="7" t="s">
        <v>80</v>
      </c>
      <c r="P18" s="1"/>
      <c r="Q18" s="1"/>
      <c r="S18" s="1"/>
      <c r="T18" s="1"/>
      <c r="U18" s="1"/>
      <c r="V18" s="1"/>
    </row>
    <row r="19" spans="1:76">
      <c r="A19" s="1" t="s">
        <v>11</v>
      </c>
      <c r="B19" s="1" t="s">
        <v>67</v>
      </c>
      <c r="C19" s="1" t="s">
        <v>68</v>
      </c>
      <c r="D19" s="1" t="s">
        <v>69</v>
      </c>
      <c r="E19" s="1" t="s">
        <v>56</v>
      </c>
      <c r="F19" s="1" t="s">
        <v>16</v>
      </c>
      <c r="G19" s="1" t="s">
        <v>42</v>
      </c>
      <c r="H19" s="1" t="s">
        <v>18</v>
      </c>
      <c r="I19" s="25">
        <v>1</v>
      </c>
      <c r="J19" s="14">
        <v>0.8833333333333333</v>
      </c>
      <c r="K19" s="3" t="s">
        <v>79</v>
      </c>
      <c r="L19" s="7" t="s">
        <v>80</v>
      </c>
      <c r="P19" s="1"/>
      <c r="Q19" s="1"/>
      <c r="S19" s="1"/>
      <c r="T19" s="1"/>
      <c r="U19" s="1"/>
      <c r="V19" s="1"/>
    </row>
    <row r="20" spans="1:76">
      <c r="A20" s="1" t="s">
        <v>11</v>
      </c>
      <c r="B20" s="1" t="s">
        <v>70</v>
      </c>
      <c r="C20" s="1" t="s">
        <v>71</v>
      </c>
      <c r="D20" s="1" t="s">
        <v>72</v>
      </c>
      <c r="E20" s="1" t="s">
        <v>22</v>
      </c>
      <c r="F20" s="1" t="s">
        <v>16</v>
      </c>
      <c r="G20" s="1" t="s">
        <v>17</v>
      </c>
      <c r="H20" s="1" t="s">
        <v>34</v>
      </c>
      <c r="I20" s="8">
        <v>4</v>
      </c>
      <c r="J20" s="25">
        <v>1.7347222222222223</v>
      </c>
      <c r="K20" s="3" t="s">
        <v>79</v>
      </c>
      <c r="L20" s="7" t="s">
        <v>80</v>
      </c>
      <c r="P20" s="1"/>
      <c r="Q20" s="1"/>
      <c r="S20" s="1"/>
      <c r="T20" s="1"/>
      <c r="U20" s="1"/>
      <c r="V20" s="1"/>
    </row>
    <row r="21" spans="1:76">
      <c r="A21" s="1" t="s">
        <v>11</v>
      </c>
      <c r="B21" s="1" t="s">
        <v>73</v>
      </c>
      <c r="C21" s="1" t="s">
        <v>74</v>
      </c>
      <c r="D21" s="1" t="s">
        <v>75</v>
      </c>
      <c r="E21" s="1" t="s">
        <v>49</v>
      </c>
      <c r="F21" s="1" t="s">
        <v>16</v>
      </c>
      <c r="G21" s="1" t="s">
        <v>17</v>
      </c>
      <c r="H21" s="1" t="s">
        <v>34</v>
      </c>
      <c r="I21" s="8">
        <v>4</v>
      </c>
      <c r="J21" s="25">
        <v>1.4708333333333332</v>
      </c>
      <c r="K21" s="3" t="s">
        <v>79</v>
      </c>
      <c r="L21" s="7" t="s">
        <v>80</v>
      </c>
      <c r="P21" s="1"/>
      <c r="Q21" s="1"/>
      <c r="S21" s="1"/>
      <c r="T21" s="1"/>
      <c r="U21" s="1"/>
      <c r="V21" s="1"/>
    </row>
    <row r="22" spans="1:76">
      <c r="A22" s="1" t="s">
        <v>11</v>
      </c>
      <c r="B22" s="1" t="s">
        <v>76</v>
      </c>
      <c r="C22" s="1" t="s">
        <v>77</v>
      </c>
      <c r="D22" s="1" t="s">
        <v>78</v>
      </c>
      <c r="E22" s="1" t="s">
        <v>49</v>
      </c>
      <c r="F22" s="1" t="s">
        <v>16</v>
      </c>
      <c r="G22" s="1" t="s">
        <v>17</v>
      </c>
      <c r="H22" s="1" t="s">
        <v>34</v>
      </c>
      <c r="I22" s="8">
        <v>4</v>
      </c>
      <c r="J22" s="25">
        <v>1.3361111111111112</v>
      </c>
      <c r="K22" s="3" t="s">
        <v>79</v>
      </c>
      <c r="L22" s="7" t="s">
        <v>80</v>
      </c>
      <c r="P22" s="1"/>
      <c r="Q22" s="1"/>
      <c r="S22" s="1"/>
      <c r="T22" s="1"/>
      <c r="U22" s="1"/>
      <c r="V22" s="1"/>
    </row>
    <row r="23" spans="1:76">
      <c r="P23" s="1"/>
      <c r="Q23" s="1"/>
      <c r="S23" s="1"/>
      <c r="T23" s="1"/>
      <c r="U23" s="1"/>
      <c r="V23" s="1"/>
    </row>
    <row r="24" spans="1:76">
      <c r="A24" s="12"/>
      <c r="B24" s="12" t="s">
        <v>81</v>
      </c>
      <c r="C24" s="17"/>
      <c r="D24" s="17" t="s">
        <v>85</v>
      </c>
      <c r="F24" s="22"/>
      <c r="G24" s="24" t="s">
        <v>88</v>
      </c>
      <c r="I24" s="27" t="s">
        <v>12</v>
      </c>
      <c r="K24" s="1" t="s">
        <v>19</v>
      </c>
      <c r="M24" s="1" t="s">
        <v>24</v>
      </c>
      <c r="O24" s="1" t="s">
        <v>27</v>
      </c>
      <c r="Q24" s="1" t="s">
        <v>31</v>
      </c>
      <c r="S24" s="1" t="s">
        <v>35</v>
      </c>
      <c r="U24" s="1" t="s">
        <v>39</v>
      </c>
      <c r="W24" s="1" t="s">
        <v>43</v>
      </c>
      <c r="Y24" s="1" t="s">
        <v>46</v>
      </c>
      <c r="AA24" s="1" t="s">
        <v>50</v>
      </c>
      <c r="AB24" s="1"/>
      <c r="AC24" s="1" t="s">
        <v>53</v>
      </c>
      <c r="AD24" s="1"/>
      <c r="AE24" s="1" t="s">
        <v>57</v>
      </c>
      <c r="AF24" s="1"/>
      <c r="AG24" s="1" t="s">
        <v>60</v>
      </c>
      <c r="AH24" s="1"/>
      <c r="AI24" s="1" t="s">
        <v>64</v>
      </c>
      <c r="AJ24" s="1"/>
      <c r="AK24" s="1" t="s">
        <v>67</v>
      </c>
      <c r="AL24" s="1"/>
      <c r="AM24" s="27" t="s">
        <v>70</v>
      </c>
      <c r="AN24" s="1"/>
      <c r="AO24" s="1" t="s">
        <v>73</v>
      </c>
      <c r="AP24" s="1"/>
      <c r="AQ24" s="1" t="s">
        <v>76</v>
      </c>
    </row>
    <row r="25" spans="1:76">
      <c r="A25" s="13">
        <v>0.33333333333333331</v>
      </c>
      <c r="B25" s="13">
        <v>0.375</v>
      </c>
      <c r="C25" s="19">
        <f>D26-D25</f>
        <v>0.1645833333333333</v>
      </c>
      <c r="D25" s="19">
        <v>0.5854166666666667</v>
      </c>
      <c r="F25" s="23">
        <v>0.28263888888888888</v>
      </c>
      <c r="G25" s="23">
        <v>0.46736111111111112</v>
      </c>
      <c r="H25" s="14">
        <f>I26-I25</f>
        <v>4.7916666666666607E-2</v>
      </c>
      <c r="I25" s="14">
        <v>0.65277777777777779</v>
      </c>
      <c r="J25" s="14">
        <f>K26-K25</f>
        <v>0.16319444444444442</v>
      </c>
      <c r="K25" s="14">
        <v>0.51388888888888895</v>
      </c>
      <c r="L25" s="14">
        <f>M26-M25</f>
        <v>1.9444444444444375E-2</v>
      </c>
      <c r="M25" s="28">
        <v>0.73055555555555562</v>
      </c>
      <c r="N25" s="14">
        <f>O26-O25</f>
        <v>0.29166666666666669</v>
      </c>
      <c r="O25" s="14">
        <v>0.45833333333333331</v>
      </c>
      <c r="P25" s="14">
        <f>Q26-Q25</f>
        <v>5.6944444444444464E-2</v>
      </c>
      <c r="Q25" s="14">
        <v>0.69305555555555554</v>
      </c>
      <c r="R25" s="14">
        <f>S26-S25</f>
        <v>3.0555555555555558E-2</v>
      </c>
      <c r="S25" s="14">
        <v>0.65902777777777777</v>
      </c>
      <c r="T25" s="14">
        <f>U26-U25</f>
        <v>0.37152777777777773</v>
      </c>
      <c r="U25" s="14">
        <v>0.37847222222222227</v>
      </c>
      <c r="V25" s="14">
        <f>W26-W25</f>
        <v>0.12430555555555556</v>
      </c>
      <c r="W25" s="14">
        <v>0.62569444444444444</v>
      </c>
      <c r="X25" s="14">
        <f>Y26-Y25</f>
        <v>0.25625000000000003</v>
      </c>
      <c r="Y25" s="14">
        <v>0.44930555555555557</v>
      </c>
      <c r="Z25" s="14">
        <f>AA26-AA25</f>
        <v>4.6527777777777724E-2</v>
      </c>
      <c r="AA25" s="14">
        <v>0.41736111111111113</v>
      </c>
      <c r="AB25" s="14">
        <f>AC26-AC25</f>
        <v>0.3520833333333333</v>
      </c>
      <c r="AC25" s="14">
        <v>0.3979166666666667</v>
      </c>
      <c r="AD25" s="14">
        <f>AE26-AE25</f>
        <v>9.027777777777779E-2</v>
      </c>
      <c r="AE25" s="14">
        <v>0.65972222222222221</v>
      </c>
      <c r="AF25" s="14">
        <f>AG26-AG25</f>
        <v>0.36944444444444446</v>
      </c>
      <c r="AG25" s="14">
        <v>0.38055555555555554</v>
      </c>
      <c r="AH25" s="14">
        <f>AI26-AI25</f>
        <v>0.21250000000000002</v>
      </c>
      <c r="AI25" s="14">
        <v>0.43333333333333335</v>
      </c>
      <c r="AJ25" s="14">
        <f>AK26-AK25</f>
        <v>0.36805555555555558</v>
      </c>
      <c r="AK25" s="14">
        <v>0.38194444444444442</v>
      </c>
      <c r="AL25" s="14">
        <f>AM26-AM25</f>
        <v>1.3194444444444398E-2</v>
      </c>
      <c r="AM25" s="21">
        <v>0.7368055555555556</v>
      </c>
      <c r="AN25" s="14">
        <f>AO26-AO25</f>
        <v>1.2500000000000067E-2</v>
      </c>
      <c r="AO25" s="14">
        <v>0.69513888888888886</v>
      </c>
      <c r="AP25" s="14">
        <f>AQ26-AQ25</f>
        <v>0.33055555555555555</v>
      </c>
      <c r="AQ25" s="14">
        <v>0.41944444444444445</v>
      </c>
    </row>
    <row r="26" spans="1:76">
      <c r="A26" s="13">
        <v>0.28194444444444444</v>
      </c>
      <c r="B26" s="13">
        <v>0.65694444444444444</v>
      </c>
      <c r="C26" s="18">
        <v>5</v>
      </c>
      <c r="D26" s="19">
        <v>0.75</v>
      </c>
      <c r="F26" s="22"/>
      <c r="G26" s="23">
        <v>0.75</v>
      </c>
      <c r="I26" s="14">
        <v>0.7006944444444444</v>
      </c>
      <c r="K26" s="14">
        <v>0.67708333333333337</v>
      </c>
      <c r="M26" s="14">
        <v>0.75</v>
      </c>
      <c r="O26" s="14">
        <v>0.75</v>
      </c>
      <c r="Q26" s="14">
        <v>0.75</v>
      </c>
      <c r="S26" s="14">
        <v>0.68958333333333333</v>
      </c>
      <c r="U26" s="14">
        <v>0.75</v>
      </c>
      <c r="W26" s="14">
        <v>0.75</v>
      </c>
      <c r="Y26" s="14">
        <v>0.7055555555555556</v>
      </c>
      <c r="AA26" s="14">
        <v>0.46388888888888885</v>
      </c>
      <c r="AB26" s="1"/>
      <c r="AC26" s="14">
        <v>0.75</v>
      </c>
      <c r="AD26" s="1"/>
      <c r="AE26" s="14">
        <v>0.75</v>
      </c>
      <c r="AF26" s="1"/>
      <c r="AG26" s="14">
        <v>0.75</v>
      </c>
      <c r="AH26" s="1"/>
      <c r="AI26" s="14">
        <v>0.64583333333333337</v>
      </c>
      <c r="AJ26" s="1"/>
      <c r="AK26" s="14">
        <v>0.75</v>
      </c>
      <c r="AL26" s="1"/>
      <c r="AM26" s="14">
        <v>0.75</v>
      </c>
      <c r="AN26" s="1"/>
      <c r="AO26" s="14">
        <v>0.70763888888888893</v>
      </c>
      <c r="AP26" s="1"/>
      <c r="AQ26" s="14">
        <v>0.75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H26" s="1"/>
      <c r="BI26" s="1"/>
      <c r="BJ26" s="1"/>
      <c r="BK26" s="1"/>
      <c r="BL26" s="1"/>
      <c r="BM26" s="1"/>
      <c r="BN26" s="1"/>
      <c r="BQ26" s="1"/>
      <c r="BR26" s="1"/>
      <c r="BS26" s="1"/>
      <c r="BT26" s="1"/>
      <c r="BU26" s="1"/>
      <c r="BV26" s="1"/>
      <c r="BW26" s="1"/>
      <c r="BX26" s="1"/>
    </row>
    <row r="27" spans="1:76">
      <c r="A27" s="12"/>
      <c r="B27" s="12"/>
      <c r="F27" s="23">
        <v>0.66666666666666663</v>
      </c>
      <c r="G27" s="22"/>
      <c r="N27" s="14">
        <v>0.33333333333333331</v>
      </c>
      <c r="T27" s="14">
        <v>0.33333333333333331</v>
      </c>
      <c r="AB27" s="1"/>
      <c r="AC27" s="1"/>
      <c r="AD27" s="14">
        <v>0.33333333333333331</v>
      </c>
      <c r="AE27" s="1"/>
      <c r="AF27" s="1"/>
      <c r="AG27" s="1"/>
      <c r="AH27" s="1"/>
      <c r="AI27" s="1"/>
      <c r="AJ27" s="14">
        <v>0.33333333333333331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H27" s="1"/>
      <c r="BI27" s="1"/>
      <c r="BJ27" s="1"/>
      <c r="BK27" s="1"/>
      <c r="BL27" s="1"/>
      <c r="BM27" s="1"/>
      <c r="BN27" s="1"/>
      <c r="BQ27" s="1"/>
      <c r="BR27" s="1"/>
      <c r="BS27" s="1"/>
      <c r="BT27" s="1"/>
      <c r="BU27" s="1"/>
      <c r="BV27" s="1"/>
      <c r="BW27" s="1"/>
      <c r="BX27" s="1"/>
    </row>
    <row r="28" spans="1:76">
      <c r="A28" s="12"/>
      <c r="B28" s="13">
        <v>0.72291666666666676</v>
      </c>
      <c r="C28" s="14">
        <f>D29-D28</f>
        <v>0.37361111111111101</v>
      </c>
      <c r="D28" s="14">
        <v>0.375</v>
      </c>
      <c r="F28" s="23">
        <f>G29</f>
        <v>0.43472222222222223</v>
      </c>
      <c r="G28" s="23">
        <v>0.375</v>
      </c>
      <c r="H28" s="14">
        <f>I29-I28</f>
        <v>2.6388888888889017E-2</v>
      </c>
      <c r="I28" s="14">
        <v>0.51874999999999993</v>
      </c>
      <c r="L28" s="14">
        <f>M29-M28</f>
        <v>0.14722222222222225</v>
      </c>
      <c r="M28" s="14">
        <v>0.375</v>
      </c>
      <c r="N28" s="14">
        <f>O29-O28</f>
        <v>2.9861111111111116E-2</v>
      </c>
      <c r="O28" s="14">
        <v>0.375</v>
      </c>
      <c r="P28" s="14">
        <f>Q29-Q28</f>
        <v>0.12222222222222223</v>
      </c>
      <c r="Q28" s="14">
        <v>0.375</v>
      </c>
      <c r="T28" s="14">
        <f>U29-U28</f>
        <v>0.21597222222222223</v>
      </c>
      <c r="U28" s="14">
        <v>0.375</v>
      </c>
      <c r="V28" s="14">
        <f>W29-W28</f>
        <v>0.19861111111111118</v>
      </c>
      <c r="W28" s="14">
        <v>0.375</v>
      </c>
      <c r="X28" s="14">
        <f>Y29-Y28</f>
        <v>0.23263888888888895</v>
      </c>
      <c r="Y28" s="14">
        <v>0.37916666666666665</v>
      </c>
      <c r="AB28" s="14">
        <f>AC29-AC28</f>
        <v>9.0277777777778012E-3</v>
      </c>
      <c r="AC28" s="14">
        <v>0.375</v>
      </c>
      <c r="AD28" s="14">
        <f>AE29-AE28</f>
        <v>0.19444444444444442</v>
      </c>
      <c r="AE28" s="14">
        <v>0.375</v>
      </c>
      <c r="AF28" s="14">
        <f>AG29-AG28</f>
        <v>6.7361111111111094E-2</v>
      </c>
      <c r="AG28" s="14">
        <v>0.6743055555555556</v>
      </c>
      <c r="AH28" s="1"/>
      <c r="AI28" s="1"/>
      <c r="AJ28" s="14">
        <f>AK29-AK28</f>
        <v>0.18194444444444446</v>
      </c>
      <c r="AK28" s="14">
        <v>0.375</v>
      </c>
      <c r="AL28" s="14">
        <f>AM29-AM28</f>
        <v>0.3263888888888889</v>
      </c>
      <c r="AM28" s="14">
        <v>0.4236111111111111</v>
      </c>
      <c r="AN28" s="14">
        <f>AO29-AO28</f>
        <v>0.2951388888888889</v>
      </c>
      <c r="AO28" s="14">
        <v>0.4548611111111111</v>
      </c>
      <c r="AP28" s="14">
        <f>AQ29-AQ28</f>
        <v>0.12777777777777777</v>
      </c>
      <c r="AQ28" s="14">
        <v>0.375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H28" s="1"/>
      <c r="BI28" s="1"/>
      <c r="BJ28" s="1"/>
      <c r="BK28" s="1"/>
      <c r="BL28" s="1"/>
      <c r="BM28" s="1"/>
      <c r="BN28" s="1"/>
      <c r="BQ28" s="1"/>
      <c r="BR28" s="1"/>
      <c r="BS28" s="1"/>
      <c r="BT28" s="1"/>
      <c r="BU28" s="1"/>
      <c r="BV28" s="1"/>
      <c r="BW28" s="1"/>
      <c r="BX28" s="1"/>
    </row>
    <row r="29" spans="1:76">
      <c r="A29" s="12"/>
      <c r="B29" s="12"/>
      <c r="D29" s="14">
        <v>0.74861111111111101</v>
      </c>
      <c r="G29" s="14">
        <v>0.43472222222222223</v>
      </c>
      <c r="I29" s="14">
        <v>0.54513888888888895</v>
      </c>
      <c r="M29" s="14">
        <v>0.52222222222222225</v>
      </c>
      <c r="O29" s="14">
        <v>0.40486111111111112</v>
      </c>
      <c r="Q29" s="14">
        <v>0.49722222222222223</v>
      </c>
      <c r="U29" s="14">
        <v>0.59097222222222223</v>
      </c>
      <c r="W29" s="14">
        <v>0.57361111111111118</v>
      </c>
      <c r="Y29" s="14">
        <v>0.6118055555555556</v>
      </c>
      <c r="AB29" s="1"/>
      <c r="AC29" s="14">
        <v>0.3840277777777778</v>
      </c>
      <c r="AD29" s="1"/>
      <c r="AE29" s="14">
        <v>0.56944444444444442</v>
      </c>
      <c r="AF29" s="1"/>
      <c r="AG29" s="14">
        <v>0.7416666666666667</v>
      </c>
      <c r="AH29" s="1"/>
      <c r="AI29" s="1"/>
      <c r="AJ29" s="1"/>
      <c r="AK29" s="14">
        <v>0.55694444444444446</v>
      </c>
      <c r="AL29" s="1"/>
      <c r="AM29" s="14">
        <v>0.75</v>
      </c>
      <c r="AN29" s="25">
        <v>1</v>
      </c>
      <c r="AO29" s="14">
        <v>0.75</v>
      </c>
      <c r="AP29" s="1"/>
      <c r="AQ29" s="14">
        <v>0.50277777777777777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H29" s="1"/>
      <c r="BI29" s="1"/>
      <c r="BJ29" s="1"/>
      <c r="BK29" s="1"/>
      <c r="BL29" s="1"/>
      <c r="BM29" s="1"/>
      <c r="BN29" s="1"/>
      <c r="BQ29" s="1"/>
      <c r="BR29" s="1"/>
      <c r="BS29" s="1"/>
      <c r="BT29" s="1"/>
      <c r="BU29" s="1"/>
      <c r="BV29" s="1"/>
      <c r="BW29" s="1"/>
      <c r="BX29" s="1"/>
    </row>
    <row r="30" spans="1:76">
      <c r="T30" s="25">
        <v>1.6666666666666667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25">
        <v>1.3333333333333333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H30" s="1"/>
      <c r="BI30" s="1"/>
      <c r="BJ30" s="1"/>
      <c r="BK30" s="1"/>
      <c r="BL30" s="1"/>
      <c r="BM30" s="1"/>
      <c r="BN30" s="1"/>
      <c r="BQ30" s="1"/>
      <c r="BR30" s="1"/>
      <c r="BS30" s="1"/>
      <c r="BT30" s="1"/>
      <c r="BU30" s="1"/>
      <c r="BV30" s="1"/>
      <c r="BW30" s="1"/>
      <c r="BX30" s="1"/>
    </row>
    <row r="31" spans="1:76">
      <c r="C31" s="14">
        <f>D32-D31</f>
        <v>0.17152777777777783</v>
      </c>
      <c r="D31" s="14">
        <v>0.57847222222222217</v>
      </c>
      <c r="F31" s="14">
        <f>G32-G31</f>
        <v>0.32500000000000001</v>
      </c>
      <c r="G31" s="14">
        <v>0.42499999999999999</v>
      </c>
      <c r="L31" s="14">
        <f>M32-M31</f>
        <v>0.15138888888888891</v>
      </c>
      <c r="M31" s="14">
        <v>0.59027777777777779</v>
      </c>
      <c r="N31" s="14">
        <f>O32-O31</f>
        <v>4.9305555555555602E-2</v>
      </c>
      <c r="O31" s="14">
        <v>0.64097222222222217</v>
      </c>
      <c r="P31" s="14">
        <f>Q32-Q31</f>
        <v>3.1944444444444442E-2</v>
      </c>
      <c r="Q31" s="14">
        <v>0.39097222222222222</v>
      </c>
      <c r="T31" s="14">
        <f>U32-U31</f>
        <v>0.1645833333333333</v>
      </c>
      <c r="U31" s="14">
        <v>0.5854166666666667</v>
      </c>
      <c r="AB31" s="1"/>
      <c r="AC31" s="1"/>
      <c r="AD31" s="1"/>
      <c r="AE31" s="1"/>
      <c r="AF31" s="14">
        <f>AG32-AG31</f>
        <v>0.15208333333333335</v>
      </c>
      <c r="AG31" s="14">
        <v>0.59791666666666665</v>
      </c>
      <c r="AH31" s="1"/>
      <c r="AI31" s="1"/>
      <c r="AJ31" s="1"/>
      <c r="AK31" s="1"/>
      <c r="AL31" s="14">
        <f>AM32-AM31</f>
        <v>6.1805555555555503E-2</v>
      </c>
      <c r="AM31" s="14">
        <v>0.375</v>
      </c>
      <c r="AN31" s="21">
        <f>AO32-AO31</f>
        <v>1.1111111111111127E-2</v>
      </c>
      <c r="AO31" s="14">
        <v>0.375</v>
      </c>
      <c r="AP31" s="14">
        <f>AQ32-AQ31</f>
        <v>0.29722222222222222</v>
      </c>
      <c r="AQ31" s="14">
        <v>0.45277777777777778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H31" s="1"/>
      <c r="BI31" s="1"/>
      <c r="BJ31" s="1"/>
      <c r="BK31" s="1"/>
      <c r="BL31" s="1"/>
      <c r="BM31" s="1"/>
      <c r="BN31" s="1"/>
      <c r="BQ31" s="1"/>
      <c r="BR31" s="1"/>
      <c r="BS31" s="1"/>
      <c r="BT31" s="1"/>
      <c r="BU31" s="1"/>
      <c r="BV31" s="1"/>
      <c r="BW31" s="1"/>
      <c r="BX31" s="1"/>
    </row>
    <row r="32" spans="1:76">
      <c r="D32" s="14">
        <v>0.75</v>
      </c>
      <c r="G32" s="14">
        <v>0.75</v>
      </c>
      <c r="M32" s="14">
        <v>0.7416666666666667</v>
      </c>
      <c r="O32" s="14">
        <v>0.69027777777777777</v>
      </c>
      <c r="Q32" s="14">
        <v>0.42291666666666666</v>
      </c>
      <c r="U32" s="14">
        <v>0.75</v>
      </c>
      <c r="AB32" s="1"/>
      <c r="AC32" s="1"/>
      <c r="AD32" s="1"/>
      <c r="AE32" s="1"/>
      <c r="AF32" s="1"/>
      <c r="AG32" s="14">
        <v>0.75</v>
      </c>
      <c r="AH32" s="1"/>
      <c r="AI32" s="1"/>
      <c r="AJ32" s="1"/>
      <c r="AK32" s="1"/>
      <c r="AL32" s="1"/>
      <c r="AM32" s="14">
        <v>0.4368055555555555</v>
      </c>
      <c r="AN32" s="1"/>
      <c r="AO32" s="21">
        <v>0.38611111111111113</v>
      </c>
      <c r="AP32" s="1"/>
      <c r="AQ32" s="14">
        <v>0.75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H32" s="1"/>
      <c r="BI32" s="1"/>
      <c r="BJ32" s="1"/>
      <c r="BK32" s="1"/>
      <c r="BL32" s="1"/>
      <c r="BM32" s="1"/>
      <c r="BN32" s="1"/>
      <c r="BQ32" s="1"/>
      <c r="BR32" s="1"/>
      <c r="BS32" s="1"/>
      <c r="BT32" s="1"/>
      <c r="BU32" s="1"/>
      <c r="BV32" s="1"/>
      <c r="BW32" s="1"/>
      <c r="BX32" s="1"/>
    </row>
    <row r="33" spans="3:76">
      <c r="C33" s="14">
        <v>0.66666666666666663</v>
      </c>
      <c r="F33" s="14">
        <v>0.33333333333333331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4">
        <v>0.33333333333333331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H33" s="1"/>
      <c r="BI33" s="1"/>
      <c r="BJ33" s="1"/>
      <c r="BK33" s="1"/>
      <c r="BL33" s="1"/>
      <c r="BM33" s="1"/>
      <c r="BN33" s="1"/>
      <c r="BQ33" s="1"/>
      <c r="BR33" s="1"/>
      <c r="BS33" s="1"/>
      <c r="BT33" s="1"/>
      <c r="BU33" s="1"/>
      <c r="BV33" s="1"/>
      <c r="BW33" s="1"/>
      <c r="BX33" s="1"/>
    </row>
    <row r="34" spans="3:76">
      <c r="C34" s="14">
        <f>D35-D34</f>
        <v>0.15347222222222223</v>
      </c>
      <c r="D34" s="14">
        <v>0.375</v>
      </c>
      <c r="F34" s="21">
        <f>G35-G34</f>
        <v>0.11319444444444443</v>
      </c>
      <c r="G34" s="14">
        <v>0.375</v>
      </c>
      <c r="L34" s="14">
        <f>M35-M34</f>
        <v>8.2638888888888817E-2</v>
      </c>
      <c r="M34" s="14">
        <v>0.61527777777777781</v>
      </c>
      <c r="P34" s="14">
        <f>Q35-Q34</f>
        <v>3.125E-2</v>
      </c>
      <c r="Q34" s="14">
        <v>0.71875</v>
      </c>
      <c r="T34" s="14"/>
      <c r="U34" s="14">
        <v>0.64583333333333337</v>
      </c>
      <c r="AB34" s="1"/>
      <c r="AC34" s="1"/>
      <c r="AD34" s="1"/>
      <c r="AE34" s="1"/>
      <c r="AF34" s="14">
        <f>AG35-AG34</f>
        <v>3.4027777777777768E-2</v>
      </c>
      <c r="AG34" s="14">
        <v>0.375</v>
      </c>
      <c r="AH34" s="1"/>
      <c r="AI34" s="1"/>
      <c r="AJ34" s="1"/>
      <c r="AK34" s="1"/>
      <c r="AL34" s="1"/>
      <c r="AM34" s="1"/>
      <c r="AN34" s="14">
        <f>AO35-AO34</f>
        <v>3.4722222222222099E-3</v>
      </c>
      <c r="AO34" s="14">
        <v>0.74652777777777779</v>
      </c>
      <c r="AP34" s="14">
        <f>AQ35-AQ34</f>
        <v>0.24722222222222223</v>
      </c>
      <c r="AQ34" s="14">
        <v>0.375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H34" s="1"/>
      <c r="BI34" s="1"/>
      <c r="BJ34" s="1"/>
      <c r="BK34" s="1"/>
      <c r="BL34" s="1"/>
      <c r="BM34" s="1"/>
      <c r="BN34" s="1"/>
      <c r="BQ34" s="1"/>
      <c r="BR34" s="1"/>
      <c r="BS34" s="1"/>
      <c r="BT34" s="1"/>
      <c r="BU34" s="1"/>
      <c r="BV34" s="1"/>
      <c r="BW34" s="1"/>
      <c r="BX34" s="1"/>
    </row>
    <row r="35" spans="3:76">
      <c r="D35" s="14">
        <v>0.52847222222222223</v>
      </c>
      <c r="G35" s="21">
        <v>0.48819444444444443</v>
      </c>
      <c r="M35" s="14">
        <v>0.69791666666666663</v>
      </c>
      <c r="Q35" s="14">
        <v>0.75</v>
      </c>
      <c r="AB35" s="1"/>
      <c r="AC35" s="1"/>
      <c r="AD35" s="1"/>
      <c r="AE35" s="1"/>
      <c r="AF35" s="1"/>
      <c r="AG35" s="14">
        <v>0.40902777777777777</v>
      </c>
      <c r="AH35" s="1"/>
      <c r="AI35" s="1"/>
      <c r="AJ35" s="1"/>
      <c r="AK35" s="1"/>
      <c r="AL35" s="1"/>
      <c r="AM35" s="1"/>
      <c r="AN35" s="1"/>
      <c r="AO35" s="14">
        <v>0.75</v>
      </c>
      <c r="AP35" s="1"/>
      <c r="AQ35" s="14">
        <v>0.62222222222222223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H35" s="1"/>
      <c r="BI35" s="1"/>
      <c r="BJ35" s="1"/>
      <c r="BK35" s="1"/>
      <c r="BL35" s="1"/>
      <c r="BM35" s="1"/>
      <c r="BN35" s="1"/>
      <c r="BQ35" s="1"/>
      <c r="BR35" s="1"/>
      <c r="BS35" s="1"/>
      <c r="BT35" s="1"/>
      <c r="BU35" s="1"/>
      <c r="BV35" s="1"/>
      <c r="BW35" s="1"/>
      <c r="BX35" s="1"/>
    </row>
    <row r="36" spans="3:76"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H36" s="1"/>
      <c r="BI36" s="1"/>
      <c r="BJ36" s="1"/>
      <c r="BK36" s="1"/>
      <c r="BL36" s="1"/>
      <c r="BM36" s="1"/>
      <c r="BN36" s="1"/>
      <c r="BQ36" s="1"/>
      <c r="BR36" s="1"/>
      <c r="BS36" s="1"/>
      <c r="BT36" s="1"/>
      <c r="BU36" s="1"/>
      <c r="BV36" s="1"/>
      <c r="BW36" s="1"/>
      <c r="BX36" s="1"/>
    </row>
    <row r="37" spans="3:76">
      <c r="F37" s="14">
        <f>G38-G37</f>
        <v>0.3208333333333333</v>
      </c>
      <c r="G37" s="14">
        <v>0.4291666666666667</v>
      </c>
      <c r="P37" s="14">
        <f>Q38-Q37</f>
        <v>5.4166666666666696E-2</v>
      </c>
      <c r="Q37" s="14">
        <v>0.375</v>
      </c>
      <c r="AB37" s="1"/>
      <c r="AC37" s="1"/>
      <c r="AD37" s="1"/>
      <c r="AE37" s="1"/>
      <c r="AF37" s="28">
        <f>AG38-AG37</f>
        <v>1.1805555555555625E-2</v>
      </c>
      <c r="AG37" s="14">
        <v>0.73819444444444438</v>
      </c>
      <c r="AH37" s="1"/>
      <c r="AI37" s="1"/>
      <c r="AJ37" s="1"/>
      <c r="AK37" s="1"/>
      <c r="AL37" s="1"/>
      <c r="AM37" s="1"/>
      <c r="AN37" s="14">
        <f>AO38-AO37</f>
        <v>5.7638888888888851E-2</v>
      </c>
      <c r="AO37" s="14">
        <v>0.375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H37" s="1"/>
      <c r="BI37" s="1"/>
      <c r="BJ37" s="1"/>
      <c r="BK37" s="1"/>
      <c r="BL37" s="1"/>
      <c r="BM37" s="1"/>
      <c r="BN37" s="1"/>
      <c r="BQ37" s="1"/>
      <c r="BR37" s="1"/>
      <c r="BS37" s="1"/>
      <c r="BT37" s="1"/>
      <c r="BU37" s="1"/>
      <c r="BV37" s="1"/>
      <c r="BW37" s="1"/>
      <c r="BX37" s="1"/>
    </row>
    <row r="38" spans="3:76">
      <c r="G38" s="14">
        <v>0.75</v>
      </c>
      <c r="Q38" s="14">
        <v>0.4291666666666667</v>
      </c>
      <c r="AB38" s="1"/>
      <c r="AC38" s="1"/>
      <c r="AD38" s="1"/>
      <c r="AE38" s="1"/>
      <c r="AF38" s="1"/>
      <c r="AG38" s="14">
        <v>0.75</v>
      </c>
      <c r="AH38" s="1"/>
      <c r="AI38" s="1"/>
      <c r="AJ38" s="1"/>
      <c r="AK38" s="1"/>
      <c r="AL38" s="1"/>
      <c r="AM38" s="1"/>
      <c r="AN38" s="1"/>
      <c r="AO38" s="14">
        <v>0.43263888888888885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H38" s="1"/>
      <c r="BI38" s="1"/>
      <c r="BJ38" s="1"/>
      <c r="BK38" s="1"/>
      <c r="BL38" s="1"/>
      <c r="BM38" s="1"/>
      <c r="BN38" s="1"/>
      <c r="BQ38" s="1"/>
      <c r="BR38" s="1"/>
      <c r="BS38" s="1"/>
      <c r="BT38" s="1"/>
      <c r="BU38" s="1"/>
      <c r="BV38" s="1"/>
      <c r="BW38" s="1"/>
      <c r="BX38" s="1"/>
    </row>
    <row r="39" spans="3:76">
      <c r="F39" s="25">
        <v>3.3333333333333335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H39" s="1"/>
      <c r="BI39" s="1"/>
      <c r="BJ39" s="1"/>
      <c r="BK39" s="1"/>
      <c r="BL39" s="1"/>
      <c r="BM39" s="1"/>
      <c r="BN39" s="1"/>
      <c r="BQ39" s="1"/>
      <c r="BR39" s="1"/>
      <c r="BS39" s="1"/>
      <c r="BT39" s="1"/>
      <c r="BU39" s="1"/>
      <c r="BV39" s="1"/>
      <c r="BW39" s="1"/>
      <c r="BX39" s="1"/>
    </row>
    <row r="40" spans="3:76">
      <c r="F40" s="14">
        <f>G41-G40</f>
        <v>0.12986111111111109</v>
      </c>
      <c r="G40" s="14">
        <v>0.375</v>
      </c>
      <c r="AB40" s="1"/>
      <c r="AC40" s="1"/>
      <c r="AD40" s="1"/>
      <c r="AE40" s="1"/>
      <c r="AF40" s="14">
        <f>AG41-AG40</f>
        <v>3.0555555555555503E-2</v>
      </c>
      <c r="AG40" s="14">
        <v>0.375</v>
      </c>
      <c r="AH40" s="1"/>
      <c r="AI40" s="1"/>
      <c r="AJ40" s="1"/>
      <c r="AK40" s="1"/>
      <c r="AL40" s="1"/>
      <c r="AM40" s="1"/>
      <c r="AN40" s="14">
        <f>AO41-AO40</f>
        <v>9.0972222222222288E-2</v>
      </c>
      <c r="AO40" s="14">
        <v>0.46111111111111108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H40" s="1"/>
      <c r="BI40" s="1"/>
      <c r="BJ40" s="1"/>
      <c r="BK40" s="1"/>
      <c r="BL40" s="1"/>
      <c r="BM40" s="1"/>
      <c r="BN40" s="1"/>
      <c r="BQ40" s="1"/>
      <c r="BR40" s="1"/>
      <c r="BS40" s="1"/>
      <c r="BT40" s="1"/>
      <c r="BU40" s="1"/>
      <c r="BV40" s="1"/>
      <c r="BW40" s="1"/>
      <c r="BX40" s="1"/>
    </row>
    <row r="41" spans="3:76">
      <c r="G41" s="14">
        <v>0.50486111111111109</v>
      </c>
      <c r="AB41" s="1"/>
      <c r="AC41" s="1"/>
      <c r="AD41" s="1"/>
      <c r="AE41" s="1"/>
      <c r="AF41" s="1"/>
      <c r="AG41" s="28">
        <v>0.4055555555555555</v>
      </c>
      <c r="AH41" s="1"/>
      <c r="AI41" s="1"/>
      <c r="AJ41" s="1"/>
      <c r="AK41" s="1"/>
      <c r="AL41" s="1"/>
      <c r="AM41" s="1"/>
      <c r="AN41" s="1"/>
      <c r="AO41" s="14">
        <v>0.55208333333333337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H41" s="1"/>
      <c r="BI41" s="1"/>
      <c r="BJ41" s="1"/>
      <c r="BK41" s="1"/>
      <c r="BL41" s="1"/>
      <c r="BM41" s="1"/>
      <c r="BN41" s="1"/>
      <c r="BQ41" s="1"/>
      <c r="BR41" s="1"/>
      <c r="BS41" s="1"/>
      <c r="BT41" s="1"/>
      <c r="BU41" s="1"/>
      <c r="BV41" s="1"/>
      <c r="BW41" s="1"/>
      <c r="BX41" s="1"/>
    </row>
    <row r="42" spans="3:76"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H42" s="1"/>
      <c r="BI42" s="1"/>
      <c r="BJ42" s="1"/>
      <c r="BK42" s="1"/>
      <c r="BL42" s="1"/>
      <c r="BM42" s="1"/>
      <c r="BN42" s="1"/>
      <c r="BQ42" s="1"/>
      <c r="BR42" s="1"/>
      <c r="BS42" s="1"/>
      <c r="BT42" s="1"/>
      <c r="BU42" s="1"/>
      <c r="BV42" s="1"/>
      <c r="BW42" s="1"/>
      <c r="BX42" s="1"/>
    </row>
    <row r="43" spans="3:76">
      <c r="F43" s="14">
        <f>G44-G43</f>
        <v>0.11944444444444446</v>
      </c>
      <c r="G43" s="14">
        <v>0.63055555555555554</v>
      </c>
      <c r="AB43" s="1"/>
      <c r="AC43" s="1"/>
      <c r="AD43" s="1"/>
      <c r="AE43" s="1"/>
      <c r="AF43" s="28">
        <f>AG44-AG43</f>
        <v>0.375</v>
      </c>
      <c r="AG43" s="14">
        <v>0.375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H43" s="1"/>
      <c r="BI43" s="1"/>
      <c r="BJ43" s="1"/>
      <c r="BK43" s="1"/>
      <c r="BL43" s="1"/>
      <c r="BM43" s="1"/>
      <c r="BN43" s="1"/>
      <c r="BQ43" s="1"/>
      <c r="BR43" s="1"/>
      <c r="BS43" s="1"/>
      <c r="BT43" s="1"/>
      <c r="BU43" s="1"/>
      <c r="BV43" s="1"/>
      <c r="BW43" s="1"/>
      <c r="BX43" s="1"/>
    </row>
    <row r="44" spans="3:76">
      <c r="G44" s="14">
        <v>0.75</v>
      </c>
      <c r="AB44" s="1"/>
      <c r="AC44" s="1"/>
      <c r="AD44" s="1"/>
      <c r="AE44" s="1"/>
      <c r="AF44" s="1"/>
      <c r="AG44" s="14">
        <v>0.75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H44" s="1"/>
      <c r="BI44" s="1"/>
      <c r="BJ44" s="1"/>
      <c r="BK44" s="1"/>
      <c r="BL44" s="1"/>
      <c r="BM44" s="1"/>
      <c r="BN44" s="1"/>
      <c r="BQ44" s="1"/>
      <c r="BR44" s="1"/>
      <c r="BS44" s="1"/>
      <c r="BT44" s="1"/>
      <c r="BU44" s="1"/>
      <c r="BV44" s="1"/>
      <c r="BW44" s="1"/>
      <c r="BX44" s="1"/>
    </row>
    <row r="45" spans="3:76">
      <c r="F45" s="14">
        <v>0.33333333333333331</v>
      </c>
      <c r="AB45" s="1"/>
      <c r="AC45" s="1"/>
      <c r="AD45" s="1"/>
      <c r="AE45" s="1"/>
      <c r="AF45" s="14">
        <v>0.33333333333333331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H45" s="1"/>
      <c r="BI45" s="1"/>
      <c r="BJ45" s="1"/>
      <c r="BK45" s="1"/>
      <c r="BL45" s="1"/>
      <c r="BM45" s="1"/>
      <c r="BN45" s="1"/>
      <c r="BQ45" s="1"/>
      <c r="BR45" s="1"/>
      <c r="BS45" s="1"/>
      <c r="BT45" s="1"/>
      <c r="BU45" s="1"/>
      <c r="BV45" s="1"/>
      <c r="BW45" s="1"/>
      <c r="BX45" s="1"/>
    </row>
    <row r="46" spans="3:76">
      <c r="F46" s="14">
        <f>G47-G46</f>
        <v>0.26458333333333328</v>
      </c>
      <c r="G46" s="14">
        <v>0.375</v>
      </c>
      <c r="AB46" s="1"/>
      <c r="AC46" s="1"/>
      <c r="AD46" s="1"/>
      <c r="AE46" s="1"/>
      <c r="AF46" s="28">
        <f>AG47-AG46</f>
        <v>7.5000000000000011E-2</v>
      </c>
      <c r="AG46" s="14">
        <v>0.375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H46" s="1"/>
      <c r="BI46" s="1"/>
      <c r="BJ46" s="1"/>
      <c r="BK46" s="1"/>
      <c r="BL46" s="1"/>
      <c r="BM46" s="1"/>
      <c r="BN46" s="1"/>
      <c r="BQ46" s="1"/>
      <c r="BR46" s="1"/>
      <c r="BS46" s="1"/>
      <c r="BT46" s="1"/>
      <c r="BU46" s="1"/>
      <c r="BV46" s="1"/>
      <c r="BW46" s="1"/>
      <c r="BX46" s="1"/>
    </row>
    <row r="47" spans="3:76">
      <c r="G47" s="14">
        <v>0.63958333333333328</v>
      </c>
      <c r="AB47" s="1"/>
      <c r="AC47" s="1"/>
      <c r="AD47" s="1"/>
      <c r="AE47" s="1"/>
      <c r="AF47" s="1"/>
      <c r="AG47" s="14">
        <v>0.45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H47" s="1"/>
      <c r="BI47" s="1"/>
      <c r="BJ47" s="1"/>
      <c r="BK47" s="1"/>
      <c r="BL47" s="1"/>
      <c r="BM47" s="1"/>
      <c r="BN47" s="1"/>
      <c r="BQ47" s="1"/>
      <c r="BR47" s="1"/>
      <c r="BS47" s="1"/>
      <c r="BT47" s="1"/>
      <c r="BU47" s="1"/>
      <c r="BV47" s="1"/>
      <c r="BW47" s="1"/>
      <c r="BX47" s="1"/>
    </row>
    <row r="48" spans="3:76"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H48" s="1"/>
      <c r="BI48" s="1"/>
      <c r="BJ48" s="1"/>
      <c r="BK48" s="1"/>
      <c r="BL48" s="1"/>
      <c r="BM48" s="1"/>
      <c r="BN48" s="1"/>
      <c r="BQ48" s="1"/>
      <c r="BR48" s="1"/>
      <c r="BS48" s="1"/>
      <c r="BT48" s="1"/>
      <c r="BU48" s="1"/>
      <c r="BV48" s="1"/>
      <c r="BW48" s="1"/>
      <c r="BX48" s="1"/>
    </row>
    <row r="49" spans="7:76">
      <c r="G49" s="14">
        <v>0.62777777777777777</v>
      </c>
      <c r="AB49" s="1"/>
      <c r="AC49" s="1"/>
      <c r="AD49" s="1"/>
      <c r="AE49" s="1"/>
      <c r="AF49" s="28">
        <f>AG50-AG49</f>
        <v>9.9305555555555536E-2</v>
      </c>
      <c r="AG49" s="14">
        <v>0.65069444444444446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H49" s="1"/>
      <c r="BI49" s="1"/>
      <c r="BJ49" s="1"/>
      <c r="BK49" s="1"/>
      <c r="BL49" s="1"/>
      <c r="BM49" s="1"/>
      <c r="BN49" s="1"/>
      <c r="BQ49" s="1"/>
      <c r="BR49" s="1"/>
      <c r="BS49" s="1"/>
      <c r="BT49" s="1"/>
      <c r="BU49" s="1"/>
      <c r="BV49" s="1"/>
      <c r="BW49" s="1"/>
      <c r="BX49" s="1"/>
    </row>
    <row r="50" spans="7:76">
      <c r="AB50" s="1"/>
      <c r="AC50" s="1"/>
      <c r="AD50" s="1"/>
      <c r="AE50" s="1"/>
      <c r="AF50" s="1"/>
      <c r="AG50" s="14">
        <v>0.75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H50" s="1"/>
      <c r="BI50" s="1"/>
      <c r="BJ50" s="1"/>
      <c r="BK50" s="1"/>
      <c r="BL50" s="1"/>
      <c r="BM50" s="1"/>
      <c r="BN50" s="1"/>
      <c r="BQ50" s="1"/>
      <c r="BR50" s="1"/>
      <c r="BS50" s="1"/>
      <c r="BT50" s="1"/>
      <c r="BU50" s="1"/>
      <c r="BV50" s="1"/>
      <c r="BW50" s="1"/>
      <c r="BX50" s="1"/>
    </row>
    <row r="51" spans="7:76"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H51" s="1"/>
      <c r="BI51" s="1"/>
      <c r="BJ51" s="1"/>
      <c r="BK51" s="1"/>
      <c r="BL51" s="1"/>
      <c r="BM51" s="1"/>
      <c r="BN51" s="1"/>
      <c r="BQ51" s="1"/>
      <c r="BR51" s="1"/>
      <c r="BS51" s="1"/>
      <c r="BT51" s="1"/>
      <c r="BU51" s="1"/>
      <c r="BV51" s="1"/>
      <c r="BW51" s="1"/>
      <c r="BX51" s="1"/>
    </row>
    <row r="52" spans="7:76">
      <c r="AB52" s="1"/>
      <c r="AC52" s="1"/>
      <c r="AD52" s="1"/>
      <c r="AE52" s="1"/>
      <c r="AF52" s="14">
        <f>AG53-AG52</f>
        <v>0.16736111111111118</v>
      </c>
      <c r="AG52" s="14">
        <v>0.375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H52" s="1"/>
      <c r="BI52" s="1"/>
      <c r="BJ52" s="1"/>
      <c r="BK52" s="1"/>
      <c r="BL52" s="1"/>
      <c r="BM52" s="1"/>
      <c r="BN52" s="1"/>
      <c r="BQ52" s="1"/>
      <c r="BR52" s="1"/>
      <c r="BS52" s="1"/>
      <c r="BT52" s="1"/>
      <c r="BU52" s="1"/>
      <c r="BV52" s="1"/>
      <c r="BW52" s="1"/>
      <c r="BX52" s="1"/>
    </row>
    <row r="53" spans="7:76">
      <c r="AB53" s="1"/>
      <c r="AC53" s="1"/>
      <c r="AD53" s="1"/>
      <c r="AE53" s="1"/>
      <c r="AF53" s="1"/>
      <c r="AG53" s="14">
        <v>0.54236111111111118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H53" s="1"/>
      <c r="BI53" s="1"/>
      <c r="BJ53" s="1"/>
      <c r="BK53" s="1"/>
      <c r="BL53" s="1"/>
      <c r="BM53" s="1"/>
      <c r="BN53" s="1"/>
      <c r="BQ53" s="1"/>
      <c r="BR53" s="1"/>
      <c r="BS53" s="1"/>
      <c r="BT53" s="1"/>
      <c r="BU53" s="1"/>
      <c r="BV53" s="1"/>
      <c r="BW53" s="1"/>
      <c r="BX53" s="1"/>
    </row>
    <row r="54" spans="7:76"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H54" s="1"/>
      <c r="BI54" s="1"/>
      <c r="BJ54" s="1"/>
      <c r="BK54" s="1"/>
      <c r="BL54" s="1"/>
      <c r="BM54" s="1"/>
      <c r="BN54" s="1"/>
      <c r="BQ54" s="1"/>
      <c r="BR54" s="1"/>
      <c r="BS54" s="1"/>
      <c r="BT54" s="1"/>
      <c r="BU54" s="1"/>
      <c r="BV54" s="1"/>
      <c r="BW54" s="1"/>
      <c r="BX54" s="1"/>
    </row>
    <row r="55" spans="7:76"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H55" s="1"/>
      <c r="BI55" s="1"/>
      <c r="BJ55" s="1"/>
      <c r="BK55" s="1"/>
      <c r="BL55" s="1"/>
      <c r="BM55" s="1"/>
      <c r="BN55" s="1"/>
      <c r="BQ55" s="1"/>
      <c r="BR55" s="1"/>
      <c r="BS55" s="1"/>
      <c r="BT55" s="1"/>
      <c r="BU55" s="1"/>
      <c r="BV55" s="1"/>
      <c r="BW55" s="1"/>
      <c r="BX55" s="1"/>
    </row>
    <row r="56" spans="7:76"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H56" s="1"/>
      <c r="BI56" s="1"/>
      <c r="BJ56" s="1"/>
      <c r="BK56" s="1"/>
      <c r="BL56" s="1"/>
      <c r="BM56" s="1"/>
      <c r="BN56" s="1"/>
      <c r="BQ56" s="1"/>
      <c r="BR56" s="1"/>
      <c r="BS56" s="1"/>
      <c r="BT56" s="1"/>
      <c r="BU56" s="1"/>
      <c r="BV56" s="1"/>
      <c r="BW56" s="1"/>
      <c r="BX56" s="1"/>
    </row>
    <row r="57" spans="7:76"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H57" s="1"/>
      <c r="BI57" s="1"/>
      <c r="BJ57" s="1"/>
      <c r="BK57" s="1"/>
      <c r="BL57" s="1"/>
      <c r="BM57" s="1"/>
      <c r="BN57" s="1"/>
      <c r="BQ57" s="1"/>
      <c r="BR57" s="1"/>
      <c r="BS57" s="1"/>
      <c r="BT57" s="1"/>
      <c r="BU57" s="1"/>
      <c r="BV57" s="1"/>
      <c r="BW57" s="1"/>
      <c r="BX57" s="1"/>
    </row>
    <row r="58" spans="7:76"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H58" s="1"/>
      <c r="BI58" s="1"/>
      <c r="BJ58" s="1"/>
      <c r="BK58" s="1"/>
      <c r="BL58" s="1"/>
      <c r="BM58" s="1"/>
      <c r="BN58" s="1"/>
      <c r="BQ58" s="1"/>
      <c r="BR58" s="1"/>
      <c r="BS58" s="1"/>
      <c r="BT58" s="1"/>
      <c r="BU58" s="1"/>
      <c r="BV58" s="1"/>
      <c r="BW58" s="1"/>
      <c r="BX58" s="1"/>
    </row>
    <row r="59" spans="7:76"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H59" s="1"/>
      <c r="BI59" s="1"/>
      <c r="BJ59" s="1"/>
      <c r="BK59" s="1"/>
      <c r="BL59" s="1"/>
      <c r="BM59" s="1"/>
      <c r="BN59" s="1"/>
      <c r="BQ59" s="1"/>
      <c r="BR59" s="1"/>
      <c r="BS59" s="1"/>
      <c r="BT59" s="1"/>
      <c r="BU59" s="1"/>
      <c r="BV59" s="1"/>
      <c r="BW59" s="1"/>
      <c r="BX59" s="1"/>
    </row>
    <row r="60" spans="7:76"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spans="7:76"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spans="7:76"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spans="7:76"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spans="7:76"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30:76"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spans="30:76"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spans="30:76"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30:76"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spans="30:76"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spans="30:76"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spans="30:76"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spans="30:76"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spans="30:76"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spans="30:76"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spans="30:76"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spans="30:76"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spans="30:76"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spans="30:76"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spans="30:76"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spans="30:76"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</row>
    <row r="81" spans="32:76"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</row>
    <row r="82" spans="32:76"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spans="32:76"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spans="32:76"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spans="32:76"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spans="32:76"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spans="32:76"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spans="32:76"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spans="32:76"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spans="32:76"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spans="32:76"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spans="32:76"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spans="32:76"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spans="32:76"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spans="32:76"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spans="32:76"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spans="32:76"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spans="32:76"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spans="32:76"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spans="32:76"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spans="32:76"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spans="32:76"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spans="32:76"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spans="32:76"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spans="32:76"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spans="32:76"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spans="32:76"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spans="32:76"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spans="32:76"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spans="32:76"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spans="32:76"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spans="32:76"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spans="32:76"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spans="32:76"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spans="32:76"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spans="32:76"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spans="32:76"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spans="32:76"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spans="32:76"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spans="32:76"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spans="32:76"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</row>
    <row r="122" spans="32:76"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</row>
    <row r="123" spans="32:76"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</row>
    <row r="124" spans="32:76"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</row>
    <row r="125" spans="32:76"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</row>
    <row r="126" spans="32:76"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spans="32:76"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spans="32:76"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spans="32:76"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spans="32:76"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</row>
    <row r="131" spans="32:76"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</row>
    <row r="132" spans="32:76"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</row>
    <row r="133" spans="32:76"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</row>
    <row r="134" spans="32:76"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</row>
    <row r="135" spans="32:76"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spans="32:76"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spans="32:76"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spans="32:76"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spans="32:76"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spans="32:76"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spans="32:76"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spans="32:76"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spans="32:76"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spans="32:76"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  <row r="145" spans="32:76"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</row>
    <row r="146" spans="32:76"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</row>
    <row r="147" spans="32:76"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</row>
    <row r="148" spans="32:76"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</row>
    <row r="149" spans="32:76"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</row>
    <row r="150" spans="32:76"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</row>
    <row r="151" spans="32:76"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</row>
    <row r="152" spans="32:76"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</row>
    <row r="153" spans="32:76"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</row>
    <row r="154" spans="32:76"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</row>
    <row r="155" spans="32:76"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</row>
    <row r="156" spans="32:76"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</row>
    <row r="157" spans="32:76"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</row>
    <row r="158" spans="32:76"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</row>
    <row r="159" spans="32:76"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</row>
    <row r="160" spans="32:76"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</row>
    <row r="161" spans="32:76"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</row>
    <row r="162" spans="32:76"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</row>
    <row r="163" spans="32:76"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</row>
    <row r="164" spans="32:76"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</row>
    <row r="165" spans="32:76"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</row>
    <row r="166" spans="32:76"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</row>
    <row r="167" spans="32:76"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</row>
    <row r="168" spans="32:76"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</row>
    <row r="169" spans="32:76"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</row>
    <row r="170" spans="32:76"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</row>
    <row r="171" spans="32:76"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</row>
    <row r="172" spans="32:76"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</row>
    <row r="173" spans="32:76"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</row>
    <row r="174" spans="32:76"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</row>
    <row r="175" spans="32:76"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</row>
    <row r="176" spans="32:76"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</row>
    <row r="177" spans="32:76"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</row>
    <row r="178" spans="32:76"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</row>
    <row r="179" spans="32:76"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</row>
    <row r="180" spans="32:76"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</row>
    <row r="181" spans="32:76"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</row>
    <row r="182" spans="32:76"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</row>
    <row r="183" spans="32:76"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A1:E1 J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C23" sqref="C23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SLA</vt:lpstr>
      <vt:lpstr>Gráficos 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Estagiario GRC1</cp:lastModifiedBy>
  <dcterms:modified xsi:type="dcterms:W3CDTF">2025-09-11T18:42:29Z</dcterms:modified>
</cp:coreProperties>
</file>