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agiariogrc1\Downloads\"/>
    </mc:Choice>
  </mc:AlternateContent>
  <bookViews>
    <workbookView xWindow="0" yWindow="0" windowWidth="28800" windowHeight="12330" activeTab="1"/>
  </bookViews>
  <sheets>
    <sheet name="Base SLA" sheetId="1" r:id="rId1"/>
    <sheet name="Graficos SLA" sheetId="2" r:id="rId2"/>
  </sheets>
  <externalReferences>
    <externalReference r:id="rId3"/>
    <externalReference r:id="rId4"/>
  </externalReferences>
  <calcPr calcId="162913"/>
</workbook>
</file>

<file path=xl/calcChain.xml><?xml version="1.0" encoding="utf-8"?>
<calcChain xmlns="http://schemas.openxmlformats.org/spreadsheetml/2006/main">
  <c r="U16" i="1" l="1"/>
  <c r="U13" i="1"/>
  <c r="R13" i="1"/>
  <c r="O22" i="1"/>
  <c r="O19" i="1"/>
  <c r="O16" i="1"/>
  <c r="O13" i="1"/>
  <c r="L37" i="1"/>
  <c r="L34" i="1"/>
  <c r="L31" i="1"/>
  <c r="L28" i="1"/>
  <c r="L25" i="1"/>
  <c r="L22" i="1"/>
  <c r="L19" i="1"/>
  <c r="L16" i="1"/>
  <c r="L13" i="1"/>
  <c r="H16" i="1"/>
  <c r="H13" i="1"/>
  <c r="E16" i="1"/>
  <c r="E13" i="1"/>
  <c r="C14" i="1"/>
  <c r="A16" i="1" l="1"/>
  <c r="A13" i="1"/>
</calcChain>
</file>

<file path=xl/sharedStrings.xml><?xml version="1.0" encoding="utf-8"?>
<sst xmlns="http://schemas.openxmlformats.org/spreadsheetml/2006/main" count="124" uniqueCount="66">
  <si>
    <t>Tipo</t>
  </si>
  <si>
    <t>Chave</t>
  </si>
  <si>
    <t>Resumo</t>
  </si>
  <si>
    <t>Criado</t>
  </si>
  <si>
    <t>Solicitante</t>
  </si>
  <si>
    <t>Status Chamado</t>
  </si>
  <si>
    <t>Tipo de Chamado</t>
  </si>
  <si>
    <t>Gravidade</t>
  </si>
  <si>
    <t>Prazo</t>
  </si>
  <si>
    <t>Produto Sinqia</t>
  </si>
  <si>
    <t>Atendimento</t>
  </si>
  <si>
    <t>SD-237665</t>
  </si>
  <si>
    <t>BD - ROTINA RESGATE DESIGNADO - DESCONTO SIMPLIFICADO</t>
  </si>
  <si>
    <t>09/07/2025 08:48</t>
  </si>
  <si>
    <t>vinicius@fundacaoitaipu.com.br</t>
  </si>
  <si>
    <t>2. Em Andamento</t>
  </si>
  <si>
    <t>Projeto</t>
  </si>
  <si>
    <t>1. Baixa</t>
  </si>
  <si>
    <t>SD-237631</t>
  </si>
  <si>
    <t xml:space="preserve">PFS - Reativação Suspensão de Contribuição </t>
  </si>
  <si>
    <t>08/07/2025 16:56</t>
  </si>
  <si>
    <t>thassiana@fundacaoitaipu.com.br</t>
  </si>
  <si>
    <t>7. Solucionado</t>
  </si>
  <si>
    <t>Bug</t>
  </si>
  <si>
    <t>SD-238934</t>
  </si>
  <si>
    <t>PBD - Exportação - Produto de Risco</t>
  </si>
  <si>
    <t>23/07/2025 14:14</t>
  </si>
  <si>
    <t>Suporte</t>
  </si>
  <si>
    <t>SD-239278</t>
  </si>
  <si>
    <t>PFS - Desaprovação Desconto em Folha  – continuação do chamado SD-86861</t>
  </si>
  <si>
    <t>28/07/2025 14:03</t>
  </si>
  <si>
    <t>SD-237138</t>
  </si>
  <si>
    <t>Lançamentos Duplicados</t>
  </si>
  <si>
    <t>02/07/2025 17:19</t>
  </si>
  <si>
    <t>eliane@fundacaoitaipu.com.br</t>
  </si>
  <si>
    <t>SD-237666</t>
  </si>
  <si>
    <t>BD - FOLHA DE PAGAMENTO - LIBERAÇÃO 20%</t>
  </si>
  <si>
    <t>09/07/2025 09:02</t>
  </si>
  <si>
    <t>SD-238640</t>
  </si>
  <si>
    <t>CD - Institutos/Autopatrocínio - Media SRC x Salário de Participação</t>
  </si>
  <si>
    <t>21/07/2025 11:13</t>
  </si>
  <si>
    <t>mbritto@fundacaoitaipu.com.br</t>
  </si>
  <si>
    <t>Retorno do Cliente</t>
  </si>
  <si>
    <t>2. Media</t>
  </si>
  <si>
    <t>SD-238840</t>
  </si>
  <si>
    <t>PFS - Relatório Consistência da Folha</t>
  </si>
  <si>
    <t>22/07/2025 17:05</t>
  </si>
  <si>
    <t>PrevNet.Benefício</t>
  </si>
  <si>
    <t>Prevnet.Contábil</t>
  </si>
  <si>
    <t>SD-235928</t>
  </si>
  <si>
    <t>Importação Arquivo Cadastral - Mudança Sistema Patrocinador</t>
  </si>
  <si>
    <t>17/06/2025 16:57</t>
  </si>
  <si>
    <t>vanessa@fundacaoitaipu.com.br</t>
  </si>
  <si>
    <t>3. Aguardando Cliente</t>
  </si>
  <si>
    <t>DENTRO SLA</t>
  </si>
  <si>
    <t>Beneficio</t>
  </si>
  <si>
    <t xml:space="preserve">%  DE EFICÁCIA MINIMO </t>
  </si>
  <si>
    <t>%  DE EFICÁCIA REALIZADO</t>
  </si>
  <si>
    <t>Qtde de Chamados</t>
  </si>
  <si>
    <t>Fora do SLA</t>
  </si>
  <si>
    <t>Dentro do SLA</t>
  </si>
  <si>
    <t>% DENTRO</t>
  </si>
  <si>
    <t>Prevnet.Empréstimo/Financeiro</t>
  </si>
  <si>
    <t>Julho</t>
  </si>
  <si>
    <t>Contábil</t>
  </si>
  <si>
    <t xml:space="preserve">FORA SLA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</si>
</sst>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color rgb="FF42526E"/>
      <name val="Calibri"/>
    </font>
    <font>
      <b/>
      <sz val="11"/>
      <color rgb="FF42526E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46" fontId="0" fillId="0" borderId="0" xfId="0" applyNumberFormat="1"/>
    <xf numFmtId="21" fontId="0" fillId="0" borderId="0" xfId="0" applyNumberFormat="1"/>
    <xf numFmtId="0" fontId="2" fillId="0" borderId="0" xfId="0" applyFont="1"/>
    <xf numFmtId="0" fontId="3" fillId="0" borderId="1" xfId="0" applyFont="1" applyBorder="1"/>
    <xf numFmtId="9" fontId="0" fillId="0" borderId="1" xfId="0" applyNumberFormat="1" applyBorder="1"/>
    <xf numFmtId="0" fontId="0" fillId="2" borderId="0" xfId="0" applyFill="1"/>
    <xf numFmtId="0" fontId="3" fillId="0" borderId="0" xfId="0" applyFont="1"/>
    <xf numFmtId="0" fontId="0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Quantidade</a:t>
            </a:r>
            <a:r>
              <a:rPr lang="pt-BR" baseline="0">
                <a:solidFill>
                  <a:sysClr val="windowText" lastClr="000000"/>
                </a:solidFill>
              </a:rPr>
              <a:t> de chamados Julho</a:t>
            </a:r>
          </a:p>
        </c:rich>
      </c:tx>
      <c:layout>
        <c:manualLayout>
          <c:xMode val="edge"/>
          <c:yMode val="edge"/>
          <c:x val="0.26132494867387485"/>
          <c:y val="1.22879640843128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'Base SLA'!$P$4</c:f>
              <c:strCache>
                <c:ptCount val="1"/>
                <c:pt idx="0">
                  <c:v>Dentro do SLA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SLA'!$M$5:$M$6</c:f>
              <c:strCache>
                <c:ptCount val="2"/>
                <c:pt idx="0">
                  <c:v>PrevNet.Benefício</c:v>
                </c:pt>
                <c:pt idx="1">
                  <c:v>Prevnet.Contábil</c:v>
                </c:pt>
              </c:strCache>
            </c:strRef>
          </c:cat>
          <c:val>
            <c:numRef>
              <c:f>'Base SLA'!$P$5:$P$6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D-4FA7-96E3-9A2E14717B67}"/>
            </c:ext>
          </c:extLst>
        </c:ser>
        <c:ser>
          <c:idx val="1"/>
          <c:order val="1"/>
          <c:tx>
            <c:strRef>
              <c:f>'Base SLA'!$O$4</c:f>
              <c:strCache>
                <c:ptCount val="1"/>
                <c:pt idx="0">
                  <c:v>Fora do SLA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SLA'!$M$5:$M$6</c:f>
              <c:strCache>
                <c:ptCount val="2"/>
                <c:pt idx="0">
                  <c:v>PrevNet.Benefício</c:v>
                </c:pt>
                <c:pt idx="1">
                  <c:v>Prevnet.Contábil</c:v>
                </c:pt>
              </c:strCache>
            </c:strRef>
          </c:cat>
          <c:val>
            <c:numRef>
              <c:f>'Base SLA'!$O$5:$O$6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D-4FA7-96E3-9A2E14717B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186016"/>
        <c:axId val="606923728"/>
      </c:barChart>
      <c:scatterChart>
        <c:scatterStyle val="lineMarker"/>
        <c:varyColors val="0"/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noFill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'Base SLA'!$N$5:$N$6</c:f>
              <c:numCache>
                <c:formatCode>General</c:formatCode>
                <c:ptCount val="2"/>
                <c:pt idx="0">
                  <c:v>8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5D-4FA7-96E3-9A2E14717B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85186016"/>
        <c:axId val="606923728"/>
      </c:scatterChart>
      <c:catAx>
        <c:axId val="4851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6923728"/>
        <c:crosses val="autoZero"/>
        <c:auto val="1"/>
        <c:lblAlgn val="ctr"/>
        <c:lblOffset val="100"/>
        <c:noMultiLvlLbl val="0"/>
      </c:catAx>
      <c:valAx>
        <c:axId val="6069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18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Prevnet.Beneficio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SLA'!$S$2</c:f>
              <c:strCache>
                <c:ptCount val="1"/>
                <c:pt idx="0">
                  <c:v>%  DE EFICÁCIA MINIMO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SLA'!$R$3</c:f>
              <c:strCache>
                <c:ptCount val="1"/>
                <c:pt idx="0">
                  <c:v>Julho</c:v>
                </c:pt>
              </c:strCache>
            </c:strRef>
          </c:cat>
          <c:val>
            <c:numRef>
              <c:f>'Base SLA'!$S$3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9-43FB-BEA6-8A0DD6B8F6D6}"/>
            </c:ext>
          </c:extLst>
        </c:ser>
        <c:ser>
          <c:idx val="1"/>
          <c:order val="1"/>
          <c:tx>
            <c:strRef>
              <c:f>'Base SLA'!$T$2</c:f>
              <c:strCache>
                <c:ptCount val="1"/>
                <c:pt idx="0">
                  <c:v>%  DE EFICÁCIA REALIZADO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SLA'!$R$3</c:f>
              <c:strCache>
                <c:ptCount val="1"/>
                <c:pt idx="0">
                  <c:v>Julho</c:v>
                </c:pt>
              </c:strCache>
            </c:strRef>
          </c:cat>
          <c:val>
            <c:numRef>
              <c:f>'Base SLA'!$T$3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F9-43FB-BEA6-8A0DD6B8F6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1011408"/>
        <c:axId val="1740244048"/>
      </c:lineChart>
      <c:catAx>
        <c:axId val="180101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0244048"/>
        <c:crosses val="autoZero"/>
        <c:auto val="1"/>
        <c:lblAlgn val="ctr"/>
        <c:lblOffset val="100"/>
        <c:noMultiLvlLbl val="0"/>
      </c:catAx>
      <c:valAx>
        <c:axId val="17402440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01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Prevnet.CONTÁBIL</a:t>
            </a:r>
          </a:p>
        </c:rich>
      </c:tx>
      <c:layout>
        <c:manualLayout>
          <c:xMode val="edge"/>
          <c:yMode val="edge"/>
          <c:x val="0.20160688397051316"/>
          <c:y val="5.0491898871256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992148446586177"/>
          <c:y val="0.46613997423787035"/>
          <c:w val="0.82920420914654036"/>
          <c:h val="0.3742588616955298"/>
        </c:manualLayout>
      </c:layout>
      <c:lineChart>
        <c:grouping val="standard"/>
        <c:varyColors val="0"/>
        <c:ser>
          <c:idx val="0"/>
          <c:order val="0"/>
          <c:tx>
            <c:strRef>
              <c:f>'Base SLA'!$W$2</c:f>
              <c:strCache>
                <c:ptCount val="1"/>
                <c:pt idx="0">
                  <c:v>%  DE EFICÁCIA MINIMO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SLA'!$V$3</c:f>
              <c:strCache>
                <c:ptCount val="1"/>
                <c:pt idx="0">
                  <c:v>Julho</c:v>
                </c:pt>
              </c:strCache>
            </c:strRef>
          </c:cat>
          <c:val>
            <c:numRef>
              <c:f>'Base SLA'!$W$3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B-43A9-8E07-2C3F581801A9}"/>
            </c:ext>
          </c:extLst>
        </c:ser>
        <c:ser>
          <c:idx val="1"/>
          <c:order val="1"/>
          <c:tx>
            <c:strRef>
              <c:f>'Base SLA'!$X$2</c:f>
              <c:strCache>
                <c:ptCount val="1"/>
                <c:pt idx="0">
                  <c:v>%  DE EFICÁCIA REALIZADO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 SLA'!$V$3</c:f>
              <c:strCache>
                <c:ptCount val="1"/>
                <c:pt idx="0">
                  <c:v>Julho</c:v>
                </c:pt>
              </c:strCache>
            </c:strRef>
          </c:cat>
          <c:val>
            <c:numRef>
              <c:f>'Base SLA'!$X$3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B-43A9-8E07-2C3F581801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1011408"/>
        <c:axId val="1740244048"/>
      </c:lineChart>
      <c:catAx>
        <c:axId val="180101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0244048"/>
        <c:crosses val="autoZero"/>
        <c:auto val="1"/>
        <c:lblAlgn val="ctr"/>
        <c:lblOffset val="100"/>
        <c:noMultiLvlLbl val="0"/>
      </c:catAx>
      <c:valAx>
        <c:axId val="17402440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01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319123</xdr:colOff>
      <xdr:row>17</xdr:row>
      <xdr:rowOff>52595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53FB80-9E0C-44BF-9F24-C8664828D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6</xdr:col>
      <xdr:colOff>559174</xdr:colOff>
      <xdr:row>32</xdr:row>
      <xdr:rowOff>89126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2AB422-3D39-40AB-B47D-39D51281C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13</xdr:col>
      <xdr:colOff>369795</xdr:colOff>
      <xdr:row>32</xdr:row>
      <xdr:rowOff>114900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2AB422-3D39-40AB-B47D-39D51281C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LA%20Maio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LA%20Junh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SLA"/>
      <sheetName val="Graficos SLA"/>
    </sheetNames>
    <sheetDataSet>
      <sheetData sheetId="0">
        <row r="2">
          <cell r="U2" t="str">
            <v xml:space="preserve">%  DE EFICÁCIA MINIMO </v>
          </cell>
        </row>
        <row r="5">
          <cell r="N5" t="str">
            <v>PrevNet.Benefício</v>
          </cell>
        </row>
        <row r="6">
          <cell r="N6" t="str">
            <v>Prevnet.Empréstimo/Financeiro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SLA"/>
      <sheetName val="Graficos SLA"/>
    </sheetNames>
    <sheetDataSet>
      <sheetData sheetId="0">
        <row r="2">
          <cell r="T2" t="str">
            <v xml:space="preserve">%  DE EFICÁCIA MINIMO </v>
          </cell>
          <cell r="U2" t="str">
            <v>%  DE EFICÁCIA REALIZADO</v>
          </cell>
          <cell r="X2" t="str">
            <v xml:space="preserve">%  DE EFICÁCIA MINIMO </v>
          </cell>
          <cell r="Y2" t="str">
            <v>%  DE EFICÁCIA REALIZADO</v>
          </cell>
        </row>
        <row r="3">
          <cell r="S3" t="str">
            <v>Junho</v>
          </cell>
          <cell r="T3">
            <v>0.8</v>
          </cell>
          <cell r="U3">
            <v>0.77</v>
          </cell>
          <cell r="W3" t="str">
            <v>Junho</v>
          </cell>
          <cell r="X3">
            <v>0.8</v>
          </cell>
          <cell r="Y3">
            <v>1</v>
          </cell>
        </row>
        <row r="4">
          <cell r="O4" t="str">
            <v>Fora do SLA</v>
          </cell>
          <cell r="P4" t="str">
            <v>Dentro do SLA</v>
          </cell>
        </row>
        <row r="5">
          <cell r="N5">
            <v>13</v>
          </cell>
          <cell r="O5">
            <v>3</v>
          </cell>
          <cell r="P5">
            <v>10</v>
          </cell>
        </row>
        <row r="6">
          <cell r="N6">
            <v>1</v>
          </cell>
          <cell r="O6">
            <v>0</v>
          </cell>
          <cell r="P6">
            <v>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topLeftCell="L1" workbookViewId="0">
      <selection activeCell="X4" sqref="X4"/>
    </sheetView>
  </sheetViews>
  <sheetFormatPr defaultRowHeight="15"/>
  <cols>
    <col min="1" max="1" width="12.85546875" bestFit="1" customWidth="1"/>
    <col min="2" max="2" width="11.42578125" customWidth="1"/>
    <col min="3" max="3" width="69.85546875" bestFit="1" customWidth="1"/>
    <col min="4" max="4" width="15.85546875" bestFit="1" customWidth="1"/>
    <col min="5" max="5" width="31.85546875" bestFit="1" customWidth="1"/>
    <col min="6" max="7" width="20.85546875" bestFit="1" customWidth="1"/>
    <col min="8" max="8" width="16.42578125" bestFit="1" customWidth="1"/>
    <col min="9" max="9" width="10" bestFit="1" customWidth="1"/>
    <col min="10" max="10" width="16.28515625" customWidth="1"/>
    <col min="11" max="11" width="17.7109375" customWidth="1"/>
    <col min="12" max="13" width="30.140625" bestFit="1" customWidth="1"/>
    <col min="14" max="14" width="18" bestFit="1" customWidth="1"/>
    <col min="15" max="16" width="13.5703125" bestFit="1" customWidth="1"/>
    <col min="17" max="17" width="21.5703125" customWidth="1"/>
    <col min="18" max="18" width="9.42578125" bestFit="1" customWidth="1"/>
    <col min="19" max="19" width="22.85546875" bestFit="1" customWidth="1"/>
    <col min="20" max="20" width="24.85546875" bestFit="1" customWidth="1"/>
    <col min="22" max="22" width="10" bestFit="1" customWidth="1"/>
    <col min="23" max="23" width="22.85546875" bestFit="1" customWidth="1"/>
    <col min="24" max="24" width="24.85546875" bestFit="1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L1" s="2" t="s">
        <v>9</v>
      </c>
      <c r="M1" s="3"/>
      <c r="N1" s="3"/>
      <c r="O1" s="3"/>
      <c r="P1" s="3"/>
      <c r="Q1" s="3"/>
      <c r="R1" s="3"/>
      <c r="S1" s="3"/>
      <c r="T1" s="3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10</v>
      </c>
      <c r="B2" s="1" t="s">
        <v>49</v>
      </c>
      <c r="C2" s="1" t="s">
        <v>50</v>
      </c>
      <c r="D2" s="9" t="s">
        <v>51</v>
      </c>
      <c r="E2" s="1" t="s">
        <v>52</v>
      </c>
      <c r="F2" s="9" t="s">
        <v>53</v>
      </c>
      <c r="G2" s="1" t="s">
        <v>27</v>
      </c>
      <c r="H2" s="1" t="s">
        <v>17</v>
      </c>
      <c r="I2" s="4">
        <v>4</v>
      </c>
      <c r="J2" s="5">
        <v>0.40416666666666662</v>
      </c>
      <c r="K2" s="1" t="s">
        <v>54</v>
      </c>
      <c r="L2" s="7" t="s">
        <v>47</v>
      </c>
      <c r="M2" s="3"/>
      <c r="N2" s="3"/>
      <c r="O2" s="3"/>
      <c r="P2" s="3"/>
      <c r="Q2" s="3"/>
      <c r="R2" s="3" t="s">
        <v>55</v>
      </c>
      <c r="S2" s="3" t="s">
        <v>56</v>
      </c>
      <c r="T2" s="3" t="s">
        <v>57</v>
      </c>
      <c r="U2" s="1"/>
      <c r="V2" s="3" t="s">
        <v>64</v>
      </c>
      <c r="W2" s="3" t="s">
        <v>56</v>
      </c>
      <c r="X2" s="3" t="s">
        <v>57</v>
      </c>
      <c r="Y2" s="1"/>
      <c r="Z2" s="1"/>
      <c r="AA2" s="1"/>
      <c r="AB2" s="1"/>
      <c r="AC2" s="1"/>
      <c r="AD2" s="1"/>
      <c r="AE2" s="1"/>
      <c r="AF2" s="1"/>
    </row>
    <row r="3" spans="1:3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4">
        <v>4</v>
      </c>
      <c r="J3" s="5">
        <v>0.61527777777777781</v>
      </c>
      <c r="K3" s="1" t="s">
        <v>54</v>
      </c>
      <c r="L3" s="3" t="s">
        <v>47</v>
      </c>
      <c r="M3" s="3"/>
      <c r="N3" s="3"/>
      <c r="O3" s="3"/>
      <c r="P3" s="3"/>
      <c r="Q3" s="3"/>
      <c r="R3" s="7" t="s">
        <v>63</v>
      </c>
      <c r="S3" s="8">
        <v>0.8</v>
      </c>
      <c r="T3" s="8">
        <v>0.75</v>
      </c>
      <c r="U3" s="1"/>
      <c r="V3" s="7" t="s">
        <v>63</v>
      </c>
      <c r="W3" s="8">
        <v>0.8</v>
      </c>
      <c r="X3" s="8">
        <v>0</v>
      </c>
      <c r="Y3" s="1"/>
      <c r="Z3" s="1"/>
      <c r="AA3" s="1"/>
      <c r="AB3" s="1"/>
      <c r="AC3" s="1"/>
      <c r="AD3" s="1"/>
      <c r="AE3" s="1"/>
      <c r="AF3" s="1"/>
    </row>
    <row r="4" spans="1:32">
      <c r="A4" s="1" t="s">
        <v>10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17</v>
      </c>
      <c r="I4" s="4">
        <v>4</v>
      </c>
      <c r="J4" s="4">
        <v>5.5979166666666664</v>
      </c>
      <c r="K4" s="11" t="s">
        <v>65</v>
      </c>
      <c r="L4" s="3" t="s">
        <v>47</v>
      </c>
      <c r="M4" s="3"/>
      <c r="N4" s="3" t="s">
        <v>58</v>
      </c>
      <c r="O4" s="3" t="s">
        <v>59</v>
      </c>
      <c r="P4" s="3" t="s">
        <v>60</v>
      </c>
      <c r="Q4" s="3" t="s">
        <v>61</v>
      </c>
      <c r="R4" s="3"/>
      <c r="S4" s="3"/>
      <c r="T4" s="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1" t="s">
        <v>10</v>
      </c>
      <c r="B5" s="1" t="s">
        <v>24</v>
      </c>
      <c r="C5" s="1" t="s">
        <v>25</v>
      </c>
      <c r="D5" s="1" t="s">
        <v>26</v>
      </c>
      <c r="E5" s="1" t="s">
        <v>14</v>
      </c>
      <c r="F5" s="1" t="s">
        <v>22</v>
      </c>
      <c r="G5" s="1" t="s">
        <v>27</v>
      </c>
      <c r="H5" s="1" t="s">
        <v>17</v>
      </c>
      <c r="I5" s="4">
        <v>4</v>
      </c>
      <c r="J5" s="4">
        <v>1.7833333333333332</v>
      </c>
      <c r="K5" s="1" t="s">
        <v>54</v>
      </c>
      <c r="L5" s="3" t="s">
        <v>47</v>
      </c>
      <c r="M5" s="3" t="s">
        <v>47</v>
      </c>
      <c r="N5" s="3">
        <v>8</v>
      </c>
      <c r="O5" s="3">
        <v>2</v>
      </c>
      <c r="P5" s="3">
        <v>6</v>
      </c>
      <c r="Q5" s="8">
        <v>0.75</v>
      </c>
      <c r="R5" s="3"/>
      <c r="S5" s="3"/>
      <c r="T5" s="3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1" t="s">
        <v>10</v>
      </c>
      <c r="B6" s="1" t="s">
        <v>28</v>
      </c>
      <c r="C6" s="1" t="s">
        <v>29</v>
      </c>
      <c r="D6" s="1" t="s">
        <v>30</v>
      </c>
      <c r="E6" s="1" t="s">
        <v>21</v>
      </c>
      <c r="F6" s="1" t="s">
        <v>15</v>
      </c>
      <c r="G6" s="1" t="s">
        <v>23</v>
      </c>
      <c r="H6" s="1" t="s">
        <v>17</v>
      </c>
      <c r="I6" s="4">
        <v>4</v>
      </c>
      <c r="J6" s="4">
        <v>2.3333333333333335</v>
      </c>
      <c r="K6" s="1" t="s">
        <v>54</v>
      </c>
      <c r="L6" s="3" t="s">
        <v>47</v>
      </c>
      <c r="M6" s="3" t="s">
        <v>48</v>
      </c>
      <c r="N6" s="3">
        <v>1</v>
      </c>
      <c r="O6" s="3">
        <v>1</v>
      </c>
      <c r="P6" s="3">
        <v>0</v>
      </c>
      <c r="Q6" s="8">
        <v>0</v>
      </c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1" t="s">
        <v>10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15</v>
      </c>
      <c r="G7" s="1" t="s">
        <v>23</v>
      </c>
      <c r="H7" s="1" t="s">
        <v>17</v>
      </c>
      <c r="I7" s="4">
        <v>4</v>
      </c>
      <c r="J7" s="4">
        <v>4.1833333333333336</v>
      </c>
      <c r="K7" s="11" t="s">
        <v>65</v>
      </c>
      <c r="L7" s="3" t="s">
        <v>48</v>
      </c>
      <c r="M7" s="3" t="s">
        <v>62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1" t="s">
        <v>10</v>
      </c>
      <c r="B8" s="1" t="s">
        <v>35</v>
      </c>
      <c r="C8" s="1" t="s">
        <v>36</v>
      </c>
      <c r="D8" s="1" t="s">
        <v>37</v>
      </c>
      <c r="E8" s="1" t="s">
        <v>14</v>
      </c>
      <c r="F8" s="1" t="s">
        <v>22</v>
      </c>
      <c r="G8" s="1" t="s">
        <v>23</v>
      </c>
      <c r="H8" s="1" t="s">
        <v>17</v>
      </c>
      <c r="I8" s="4">
        <v>4</v>
      </c>
      <c r="J8" s="4">
        <v>5.8402777777777777</v>
      </c>
      <c r="K8" s="11" t="s">
        <v>65</v>
      </c>
      <c r="L8" s="3" t="s">
        <v>47</v>
      </c>
      <c r="Q8" s="1"/>
      <c r="S8" s="1"/>
      <c r="T8" s="1"/>
    </row>
    <row r="9" spans="1:32">
      <c r="A9" s="1" t="s">
        <v>10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27</v>
      </c>
      <c r="H9" s="1" t="s">
        <v>43</v>
      </c>
      <c r="I9" s="4">
        <v>2</v>
      </c>
      <c r="J9" s="5">
        <v>0.94930555555555562</v>
      </c>
      <c r="K9" s="1" t="s">
        <v>54</v>
      </c>
      <c r="L9" s="3" t="s">
        <v>47</v>
      </c>
      <c r="Q9" s="1"/>
      <c r="S9" s="1"/>
      <c r="T9" s="1"/>
    </row>
    <row r="10" spans="1:32">
      <c r="A10" s="1" t="s">
        <v>10</v>
      </c>
      <c r="B10" s="1" t="s">
        <v>44</v>
      </c>
      <c r="C10" s="1" t="s">
        <v>45</v>
      </c>
      <c r="D10" s="1" t="s">
        <v>46</v>
      </c>
      <c r="E10" s="1" t="s">
        <v>14</v>
      </c>
      <c r="F10" s="1" t="s">
        <v>22</v>
      </c>
      <c r="G10" s="1" t="s">
        <v>23</v>
      </c>
      <c r="H10" s="1" t="s">
        <v>17</v>
      </c>
      <c r="I10" s="4">
        <v>4</v>
      </c>
      <c r="J10" s="5">
        <v>0.55347222222222225</v>
      </c>
      <c r="K10" s="1" t="s">
        <v>54</v>
      </c>
      <c r="L10" s="3" t="s">
        <v>47</v>
      </c>
    </row>
    <row r="12" spans="1:32">
      <c r="A12" s="1"/>
      <c r="B12" s="1" t="s">
        <v>49</v>
      </c>
      <c r="D12" s="1" t="s">
        <v>11</v>
      </c>
      <c r="F12" s="1" t="s">
        <v>18</v>
      </c>
      <c r="I12" s="1" t="s">
        <v>24</v>
      </c>
      <c r="K12" s="1" t="s">
        <v>28</v>
      </c>
      <c r="M12" s="1" t="s">
        <v>31</v>
      </c>
      <c r="P12" s="1" t="s">
        <v>35</v>
      </c>
      <c r="S12" s="10" t="s">
        <v>38</v>
      </c>
      <c r="V12" s="1" t="s">
        <v>44</v>
      </c>
    </row>
    <row r="13" spans="1:32">
      <c r="A13" s="5">
        <f>B14-B13</f>
        <v>4.3750000000000067E-2</v>
      </c>
      <c r="B13" s="5">
        <v>0.70624999999999993</v>
      </c>
      <c r="C13" s="5">
        <v>0.33333333333333331</v>
      </c>
      <c r="D13" s="5">
        <v>0.375</v>
      </c>
      <c r="E13" s="5">
        <f>F14-F13</f>
        <v>4.4444444444444398E-2</v>
      </c>
      <c r="F13" s="5">
        <v>0.7055555555555556</v>
      </c>
      <c r="H13" s="5">
        <f>I14-I13</f>
        <v>7.5000000000000067E-2</v>
      </c>
      <c r="I13" s="5">
        <v>0.59305555555555556</v>
      </c>
      <c r="K13" s="5">
        <v>0.5854166666666667</v>
      </c>
      <c r="L13" s="5">
        <f>M14-M13</f>
        <v>2.8472222222222232E-2</v>
      </c>
      <c r="M13" s="5">
        <v>0.72152777777777777</v>
      </c>
      <c r="O13" s="5">
        <f>P14-P13</f>
        <v>0.37361111111111112</v>
      </c>
      <c r="P13" s="5">
        <v>0.37638888888888888</v>
      </c>
      <c r="R13" s="5">
        <f>S14-S13</f>
        <v>0.28263888888888888</v>
      </c>
      <c r="S13" s="5">
        <v>0.46736111111111112</v>
      </c>
      <c r="U13" s="5">
        <f>V14-V13</f>
        <v>3.8194444444444531E-2</v>
      </c>
      <c r="V13" s="5">
        <v>0.71180555555555547</v>
      </c>
    </row>
    <row r="14" spans="1:32">
      <c r="A14" s="1"/>
      <c r="B14" s="5">
        <v>0.75</v>
      </c>
      <c r="C14" s="5">
        <f>D14-D13</f>
        <v>0.28194444444444444</v>
      </c>
      <c r="D14" s="5">
        <v>0.65694444444444444</v>
      </c>
      <c r="F14" s="5">
        <v>0.75</v>
      </c>
      <c r="I14" s="5">
        <v>0.66805555555555562</v>
      </c>
      <c r="J14" s="4">
        <v>2.3333333333333335</v>
      </c>
      <c r="M14" s="5">
        <v>0.75</v>
      </c>
      <c r="P14" s="5">
        <v>0.75</v>
      </c>
      <c r="S14" s="5">
        <v>0.75</v>
      </c>
      <c r="V14" s="5">
        <v>0.75</v>
      </c>
    </row>
    <row r="15" spans="1:32">
      <c r="A15" s="1"/>
      <c r="B15" s="1"/>
      <c r="E15" s="4">
        <v>5.333333333333333</v>
      </c>
      <c r="H15" s="4">
        <v>1.3333333333333333</v>
      </c>
      <c r="O15" s="4">
        <v>3.3333333333333335</v>
      </c>
      <c r="U15" s="5">
        <v>0.33333333333333331</v>
      </c>
    </row>
    <row r="16" spans="1:32">
      <c r="A16" s="5">
        <f>B17-B16</f>
        <v>0.36041666666666661</v>
      </c>
      <c r="B16" s="5">
        <v>0.375</v>
      </c>
      <c r="D16" s="5">
        <v>0.72291666666666676</v>
      </c>
      <c r="E16" s="5">
        <f>F17-F16</f>
        <v>0.22013888888888888</v>
      </c>
      <c r="F16" s="5">
        <v>0.375</v>
      </c>
      <c r="H16" s="5">
        <f>I17-I16</f>
        <v>0.375</v>
      </c>
      <c r="I16" s="5">
        <v>0.375</v>
      </c>
      <c r="L16" s="5">
        <f>M17-M16</f>
        <v>3.4027777777777768E-2</v>
      </c>
      <c r="M16" s="5">
        <v>0.375</v>
      </c>
      <c r="O16" s="5">
        <f>P17-P16</f>
        <v>0.30069444444444438</v>
      </c>
      <c r="P16" s="5">
        <v>0.375</v>
      </c>
      <c r="R16" s="5">
        <v>0.66666666666666663</v>
      </c>
      <c r="S16" s="5"/>
      <c r="U16" s="5">
        <f>V17-V16</f>
        <v>0.18194444444444446</v>
      </c>
      <c r="V16" s="5">
        <v>0.375</v>
      </c>
    </row>
    <row r="17" spans="1:22">
      <c r="A17" s="1"/>
      <c r="B17" s="5">
        <v>0.73541666666666661</v>
      </c>
      <c r="F17" s="5">
        <v>0.59513888888888888</v>
      </c>
      <c r="I17" s="5">
        <v>0.75</v>
      </c>
      <c r="M17" s="5">
        <v>0.40902777777777777</v>
      </c>
      <c r="P17" s="5">
        <v>0.67569444444444438</v>
      </c>
      <c r="S17" s="12"/>
      <c r="V17" s="5">
        <v>0.55694444444444446</v>
      </c>
    </row>
    <row r="19" spans="1:22">
      <c r="L19" s="5">
        <f>M20-M19</f>
        <v>1.1805555555555569E-2</v>
      </c>
      <c r="M19" s="5">
        <v>0.48680555555555555</v>
      </c>
      <c r="O19" s="5">
        <f>P20-P19</f>
        <v>0.11875000000000002</v>
      </c>
      <c r="P19" s="5">
        <v>0.63124999999999998</v>
      </c>
    </row>
    <row r="20" spans="1:22">
      <c r="M20" s="5">
        <v>0.49861111111111112</v>
      </c>
      <c r="P20" s="5">
        <v>0.75</v>
      </c>
    </row>
    <row r="21" spans="1:22">
      <c r="O21" s="4">
        <v>1.6666666666666667</v>
      </c>
    </row>
    <row r="22" spans="1:22">
      <c r="L22" s="5">
        <f>M23-M22</f>
        <v>0.2319444444444444</v>
      </c>
      <c r="M22" s="5">
        <v>0.5180555555555556</v>
      </c>
      <c r="O22" s="5">
        <f>P23-P22</f>
        <v>4.7222222222222221E-2</v>
      </c>
      <c r="P22" s="5">
        <v>0.375</v>
      </c>
    </row>
    <row r="23" spans="1:22">
      <c r="M23" s="5">
        <v>0.75</v>
      </c>
      <c r="P23" s="5">
        <v>0.42222222222222222</v>
      </c>
    </row>
    <row r="25" spans="1:22">
      <c r="L25" s="5">
        <f>M26-M25</f>
        <v>6.7361111111111094E-2</v>
      </c>
      <c r="M25" s="5">
        <v>0.44027777777777777</v>
      </c>
    </row>
    <row r="26" spans="1:22">
      <c r="M26" s="5">
        <v>0.50763888888888886</v>
      </c>
    </row>
    <row r="28" spans="1:22">
      <c r="L28" s="5">
        <f>M29-M28</f>
        <v>3.5416666666666763E-2</v>
      </c>
      <c r="M28" s="5">
        <v>0.71458333333333324</v>
      </c>
    </row>
    <row r="29" spans="1:22">
      <c r="M29" s="5">
        <v>0.75</v>
      </c>
    </row>
    <row r="31" spans="1:22">
      <c r="L31" s="5">
        <f>M32-M31</f>
        <v>0.15625</v>
      </c>
      <c r="M31" s="5">
        <v>0.4770833333333333</v>
      </c>
    </row>
    <row r="32" spans="1:22">
      <c r="M32" s="5">
        <v>0.6333333333333333</v>
      </c>
    </row>
    <row r="34" spans="12:13">
      <c r="L34" s="5">
        <f>M35-M34</f>
        <v>0.34513888888888888</v>
      </c>
      <c r="M34" s="5">
        <v>0.40486111111111112</v>
      </c>
    </row>
    <row r="35" spans="12:13">
      <c r="M35" s="5">
        <v>0.75</v>
      </c>
    </row>
    <row r="36" spans="12:13">
      <c r="L36" s="4">
        <v>3</v>
      </c>
    </row>
    <row r="37" spans="12:13">
      <c r="L37" s="5">
        <f>M38-M37</f>
        <v>0.2729166666666667</v>
      </c>
      <c r="M37" s="5">
        <v>0.375</v>
      </c>
    </row>
    <row r="38" spans="12:13">
      <c r="M38" s="5">
        <v>0.6479166666666667</v>
      </c>
    </row>
    <row r="40" spans="12:13">
      <c r="M40" s="12">
        <v>0.4861111111111111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S20" sqref="S20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SLA</vt:lpstr>
      <vt:lpstr>Graficos 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Estagiario GRC1</cp:lastModifiedBy>
  <dcterms:modified xsi:type="dcterms:W3CDTF">2025-08-07T19:36:24Z</dcterms:modified>
</cp:coreProperties>
</file>